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torage.slu.se\Home$\aneh0003\My Documents\Reports\Project 1\Report\Revenues\Real Final\Submitting\Downloaded from submission\Resubmit July 23rd\Resubmit\Resubmission Aug 2025\Submission to Energy reports\SM\"/>
    </mc:Choice>
  </mc:AlternateContent>
  <xr:revisionPtr revIDLastSave="0" documentId="13_ncr:1_{7BB56694-6E1B-46E8-A644-AD74FAA6022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rid Supply" sheetId="25" r:id="rId1"/>
    <sheet name="Balanced Supply" sheetId="26" r:id="rId2"/>
    <sheet name="Island Operation" sheetId="27" r:id="rId3"/>
    <sheet name="Expanded Production" sheetId="2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7" i="28" l="1" a="1"/>
  <c r="AN27" i="28" s="1"/>
  <c r="AM27" i="28"/>
  <c r="K27" i="28"/>
  <c r="J27" i="28"/>
  <c r="I27" i="28"/>
  <c r="AN26" i="28" a="1"/>
  <c r="AN26" i="28" s="1"/>
  <c r="AM26" i="28"/>
  <c r="K26" i="28"/>
  <c r="J26" i="28"/>
  <c r="I26" i="28"/>
  <c r="AN25" i="28" a="1"/>
  <c r="AN25" i="28" s="1"/>
  <c r="AM25" i="28"/>
  <c r="K25" i="28"/>
  <c r="J25" i="28"/>
  <c r="I25" i="28"/>
  <c r="AN24" i="28" a="1"/>
  <c r="AN24" i="28" s="1"/>
  <c r="AM24" i="28"/>
  <c r="K24" i="28"/>
  <c r="J24" i="28"/>
  <c r="I24" i="28"/>
  <c r="AN23" i="28" a="1"/>
  <c r="AN23" i="28" s="1"/>
  <c r="AM23" i="28"/>
  <c r="K23" i="28"/>
  <c r="J23" i="28"/>
  <c r="I23" i="28"/>
  <c r="AN22" i="28" a="1"/>
  <c r="AN22" i="28" s="1"/>
  <c r="AM22" i="28"/>
  <c r="K22" i="28"/>
  <c r="J22" i="28"/>
  <c r="I22" i="28"/>
  <c r="AN21" i="28" a="1"/>
  <c r="AN21" i="28" s="1"/>
  <c r="AM21" i="28"/>
  <c r="K21" i="28"/>
  <c r="J21" i="28"/>
  <c r="I21" i="28"/>
  <c r="AN20" i="28" a="1"/>
  <c r="AN20" i="28" s="1"/>
  <c r="AM20" i="28"/>
  <c r="K20" i="28"/>
  <c r="J20" i="28"/>
  <c r="I20" i="28"/>
  <c r="AN19" i="28" a="1"/>
  <c r="AN19" i="28" s="1"/>
  <c r="AM19" i="28"/>
  <c r="K19" i="28"/>
  <c r="J19" i="28"/>
  <c r="I19" i="28"/>
  <c r="AN18" i="28" a="1"/>
  <c r="AN18" i="28" s="1"/>
  <c r="AM18" i="28"/>
  <c r="K18" i="28"/>
  <c r="J18" i="28"/>
  <c r="I18" i="28"/>
  <c r="AN17" i="28" a="1"/>
  <c r="AN17" i="28" s="1"/>
  <c r="AM17" i="28"/>
  <c r="K17" i="28"/>
  <c r="J17" i="28"/>
  <c r="I17" i="28"/>
  <c r="AN16" i="28" a="1"/>
  <c r="AN16" i="28" s="1"/>
  <c r="AM16" i="28"/>
  <c r="K16" i="28"/>
  <c r="J16" i="28"/>
  <c r="I16" i="28"/>
  <c r="AN15" i="28" a="1"/>
  <c r="AN15" i="28" s="1"/>
  <c r="AM15" i="28"/>
  <c r="K15" i="28"/>
  <c r="J15" i="28"/>
  <c r="I15" i="28"/>
  <c r="AN14" i="28" a="1"/>
  <c r="AN14" i="28" s="1"/>
  <c r="AM14" i="28"/>
  <c r="K14" i="28"/>
  <c r="J14" i="28"/>
  <c r="I14" i="28"/>
  <c r="AN13" i="28" a="1"/>
  <c r="AN13" i="28" s="1"/>
  <c r="AM13" i="28"/>
  <c r="K13" i="28"/>
  <c r="J13" i="28"/>
  <c r="I13" i="28"/>
  <c r="AN12" i="28" a="1"/>
  <c r="AN12" i="28" s="1"/>
  <c r="AM12" i="28"/>
  <c r="K12" i="28"/>
  <c r="J12" i="28"/>
  <c r="I12" i="28"/>
  <c r="AN11" i="28" a="1"/>
  <c r="AN11" i="28" s="1"/>
  <c r="AM11" i="28"/>
  <c r="K11" i="28"/>
  <c r="J11" i="28"/>
  <c r="I11" i="28"/>
  <c r="AN10" i="28" a="1"/>
  <c r="AN10" i="28" s="1"/>
  <c r="AM10" i="28"/>
  <c r="K10" i="28"/>
  <c r="J10" i="28"/>
  <c r="I10" i="28"/>
  <c r="AN9" i="28" a="1"/>
  <c r="AN9" i="28" s="1"/>
  <c r="AM9" i="28"/>
  <c r="K9" i="28"/>
  <c r="J9" i="28"/>
  <c r="I9" i="28"/>
  <c r="AN8" i="28" a="1"/>
  <c r="AN8" i="28" s="1"/>
  <c r="AM8" i="28"/>
  <c r="K8" i="28"/>
  <c r="J8" i="28"/>
  <c r="I8" i="28"/>
  <c r="AN7" i="28" a="1"/>
  <c r="AN7" i="28" s="1"/>
  <c r="AM7" i="28"/>
  <c r="K7" i="28"/>
  <c r="J7" i="28"/>
  <c r="I7" i="28"/>
  <c r="AN6" i="28" a="1"/>
  <c r="AN6" i="28" s="1"/>
  <c r="AM6" i="28"/>
  <c r="K6" i="28"/>
  <c r="J6" i="28"/>
  <c r="I6" i="28"/>
  <c r="AN5" i="28" a="1"/>
  <c r="AN5" i="28" s="1"/>
  <c r="AM5" i="28"/>
  <c r="K5" i="28"/>
  <c r="J5" i="28"/>
  <c r="I5" i="28"/>
  <c r="AN4" i="28" a="1"/>
  <c r="AN4" i="28" s="1"/>
  <c r="AM4" i="28"/>
  <c r="K4" i="28"/>
  <c r="J4" i="28"/>
  <c r="I4" i="28"/>
  <c r="AN3" i="28" a="1"/>
  <c r="AN3" i="28" s="1"/>
  <c r="AM3" i="28"/>
  <c r="K3" i="28"/>
  <c r="J3" i="28"/>
  <c r="I3" i="28"/>
  <c r="AN2" i="28" a="1"/>
  <c r="AN2" i="28" s="1"/>
  <c r="AM2" i="28"/>
  <c r="K2" i="28"/>
  <c r="J2" i="28"/>
  <c r="I2" i="28"/>
  <c r="AL37" i="27" a="1"/>
  <c r="AL37" i="27" s="1"/>
  <c r="K37" i="27"/>
  <c r="AL36" i="27"/>
  <c r="AL36" i="27" a="1"/>
  <c r="K36" i="27"/>
  <c r="AL35" i="27" a="1"/>
  <c r="AL35" i="27" s="1"/>
  <c r="K35" i="27"/>
  <c r="AL34" i="27" a="1"/>
  <c r="AL34" i="27" s="1"/>
  <c r="K34" i="27"/>
  <c r="AL33" i="27" a="1"/>
  <c r="AL33" i="27" s="1"/>
  <c r="K33" i="27"/>
  <c r="AL32" i="27" a="1"/>
  <c r="AL32" i="27" s="1"/>
  <c r="K32" i="27"/>
  <c r="AL31" i="27" a="1"/>
  <c r="AL31" i="27" s="1"/>
  <c r="K31" i="27"/>
  <c r="AL30" i="27" a="1"/>
  <c r="AL30" i="27" s="1"/>
  <c r="K30" i="27"/>
  <c r="AL29" i="27" a="1"/>
  <c r="AL29" i="27" s="1"/>
  <c r="K29" i="27"/>
  <c r="AL28" i="27" a="1"/>
  <c r="AL28" i="27" s="1"/>
  <c r="K28" i="27"/>
  <c r="AL27" i="27" a="1"/>
  <c r="AL27" i="27" s="1"/>
  <c r="K27" i="27"/>
  <c r="AL26" i="27"/>
  <c r="AL26" i="27" a="1"/>
  <c r="K26" i="27"/>
  <c r="AL25" i="27" a="1"/>
  <c r="AL25" i="27" s="1"/>
  <c r="K25" i="27"/>
  <c r="AL24" i="27" a="1"/>
  <c r="AL24" i="27" s="1"/>
  <c r="K24" i="27"/>
  <c r="AL23" i="27" a="1"/>
  <c r="AL23" i="27" s="1"/>
  <c r="K23" i="27"/>
  <c r="AL22" i="27" a="1"/>
  <c r="AL22" i="27" s="1"/>
  <c r="K22" i="27"/>
  <c r="AL21" i="27" a="1"/>
  <c r="AL21" i="27" s="1"/>
  <c r="K21" i="27"/>
  <c r="AL20" i="27" a="1"/>
  <c r="AL20" i="27" s="1"/>
  <c r="K20" i="27"/>
  <c r="AL19" i="27" a="1"/>
  <c r="AL19" i="27" s="1"/>
  <c r="K19" i="27"/>
  <c r="AL18" i="27" a="1"/>
  <c r="AL18" i="27" s="1"/>
  <c r="K18" i="27"/>
  <c r="AL17" i="27" a="1"/>
  <c r="AL17" i="27" s="1"/>
  <c r="K17" i="27"/>
  <c r="AL16" i="27" a="1"/>
  <c r="AL16" i="27" s="1"/>
  <c r="K16" i="27"/>
  <c r="AL15" i="27" a="1"/>
  <c r="AL15" i="27" s="1"/>
  <c r="K15" i="27"/>
  <c r="AL14" i="27" a="1"/>
  <c r="AL14" i="27" s="1"/>
  <c r="K14" i="27"/>
  <c r="AL13" i="27" a="1"/>
  <c r="AL13" i="27" s="1"/>
  <c r="K13" i="27"/>
  <c r="AL12" i="27" a="1"/>
  <c r="AL12" i="27" s="1"/>
  <c r="K12" i="27"/>
  <c r="AL11" i="27" a="1"/>
  <c r="AL11" i="27" s="1"/>
  <c r="K11" i="27"/>
  <c r="AL10" i="27"/>
  <c r="AL10" i="27" a="1"/>
  <c r="K10" i="27"/>
  <c r="AL9" i="27" a="1"/>
  <c r="AL9" i="27" s="1"/>
  <c r="K9" i="27"/>
  <c r="AL8" i="27" a="1"/>
  <c r="AL8" i="27" s="1"/>
  <c r="K8" i="27"/>
  <c r="AL7" i="27" a="1"/>
  <c r="AL7" i="27" s="1"/>
  <c r="K7" i="27"/>
  <c r="AL6" i="27" a="1"/>
  <c r="AL6" i="27" s="1"/>
  <c r="K6" i="27"/>
  <c r="AL5" i="27" a="1"/>
  <c r="AL5" i="27" s="1"/>
  <c r="K5" i="27"/>
  <c r="AL4" i="27" a="1"/>
  <c r="AL4" i="27" s="1"/>
  <c r="K4" i="27"/>
  <c r="AL3" i="27" a="1"/>
  <c r="AL3" i="27" s="1"/>
  <c r="K3" i="27"/>
  <c r="AL2" i="27" a="1"/>
  <c r="AL2" i="27" s="1"/>
  <c r="K2" i="27"/>
  <c r="AE10" i="26"/>
  <c r="AE9" i="26"/>
  <c r="AE8" i="26"/>
  <c r="AE7" i="26"/>
  <c r="AE6" i="26"/>
  <c r="AE5" i="26"/>
  <c r="AE4" i="26"/>
  <c r="AE3" i="26"/>
  <c r="AE2" i="26"/>
  <c r="AK10" i="25" a="1"/>
  <c r="AK10" i="25" s="1"/>
  <c r="AE10" i="25"/>
  <c r="AK9" i="25" a="1"/>
  <c r="AK9" i="25" s="1"/>
  <c r="AE9" i="25"/>
  <c r="AK8" i="25" a="1"/>
  <c r="AK8" i="25" s="1"/>
  <c r="AE8" i="25"/>
  <c r="AK7" i="25" a="1"/>
  <c r="AK7" i="25" s="1"/>
  <c r="AE7" i="25"/>
  <c r="AK6" i="25"/>
  <c r="AK6" i="25" a="1"/>
  <c r="AE6" i="25"/>
  <c r="AK5" i="25" a="1"/>
  <c r="AK5" i="25" s="1"/>
  <c r="AE5" i="25"/>
  <c r="AK4" i="25" a="1"/>
  <c r="AK4" i="25" s="1"/>
  <c r="AE4" i="25"/>
  <c r="AK3" i="25" a="1"/>
  <c r="AK3" i="25" s="1"/>
  <c r="AE3" i="25"/>
  <c r="AK2" i="25" a="1"/>
  <c r="AK2" i="25" s="1"/>
  <c r="AE2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<sst xmlns="http://schemas.openxmlformats.org/spreadsheetml/2006/main" count="225" uniqueCount="124">
  <si>
    <t>Total CAPEX (EUR2024)</t>
  </si>
  <si>
    <t>PV Capex</t>
  </si>
  <si>
    <t>Battery Capex</t>
  </si>
  <si>
    <t>Electrolyzer Capex</t>
  </si>
  <si>
    <t>H2 Storage Capex</t>
  </si>
  <si>
    <t>Compressor Capex</t>
  </si>
  <si>
    <t>Total Discounted Fixed OPEX (EUR2024)</t>
  </si>
  <si>
    <t>Annual Electrolyzer Opex</t>
  </si>
  <si>
    <t>Annual PV Opex</t>
  </si>
  <si>
    <t>Annual Compressor Opex</t>
  </si>
  <si>
    <t>Annual Battery Opex</t>
  </si>
  <si>
    <t>Annual H2 Storage Opex</t>
  </si>
  <si>
    <t>Annual N4 Electricity Fixed Cost</t>
  </si>
  <si>
    <t>Total Discounted Replacement Cost (EUR2024)</t>
  </si>
  <si>
    <t>Total Discounted Electricity Cost (EUR2024)</t>
  </si>
  <si>
    <t>Total Discounted Water Cost (EUR2024)</t>
  </si>
  <si>
    <t>Total Discounted Electricity Income (EUR2024)</t>
  </si>
  <si>
    <t>Total H2 produced (kg)</t>
  </si>
  <si>
    <t>Total H2 deficit (kg)</t>
  </si>
  <si>
    <t>Electrolyzer usage (%)</t>
  </si>
  <si>
    <t>Electrolyzer production (kWh)</t>
  </si>
  <si>
    <t>PV to Electrolyzer (kWh)</t>
  </si>
  <si>
    <t>Grid to Electrolyzer (kWh)</t>
  </si>
  <si>
    <t>Consumption (kg)</t>
  </si>
  <si>
    <t>PV production (kWh)</t>
  </si>
  <si>
    <t>Excess electricity</t>
  </si>
  <si>
    <t>SellH2 (kg H2)</t>
  </si>
  <si>
    <t>Farm consumption (kg)</t>
  </si>
  <si>
    <t>Oversize</t>
  </si>
  <si>
    <t>Share of PV energy (%)</t>
  </si>
  <si>
    <t>LCOH (€/kg H2)</t>
  </si>
  <si>
    <t>Net Present Cost (€)</t>
  </si>
  <si>
    <t>Battery (kWh)</t>
  </si>
  <si>
    <t>Electrolyzer (kWp)</t>
  </si>
  <si>
    <t>Storage (kg H2)</t>
  </si>
  <si>
    <t>PV (kWp)</t>
  </si>
  <si>
    <t>Electrolyzer capacity factor (%)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</si>
  <si>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</si>
  <si>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</si>
  <si>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</si>
  <si>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</si>
  <si>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</si>
  <si>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</si>
  <si>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</si>
  <si>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</si>
  <si>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</si>
  <si>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</si>
  <si>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</si>
  <si>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</si>
  <si>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</si>
  <si>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</si>
  <si>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</si>
  <si>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</si>
  <si>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</si>
  <si>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</si>
  <si>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</si>
  <si>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</si>
  <si>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</si>
  <si>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</si>
  <si>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</si>
  <si>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</si>
  <si>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</si>
  <si>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</si>
  <si>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</si>
  <si>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</si>
  <si>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</si>
  <si>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</si>
  <si>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</si>
  <si>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</si>
  <si>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</si>
  <si>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</si>
  <si>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</si>
  <si>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</si>
  <si>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</si>
  <si>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</si>
  <si>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</si>
  <si>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</si>
  <si>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</si>
  <si>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</si>
  <si>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</si>
  <si>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</si>
  <si>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</si>
  <si>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</si>
  <si>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</si>
  <si>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</si>
  <si>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</si>
  <si>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</si>
  <si>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</si>
  <si>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</si>
  <si>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</si>
  <si>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</si>
  <si>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</si>
  <si>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</si>
  <si>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</si>
  <si>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</si>
  <si>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</si>
  <si>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</si>
  <si>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</si>
  <si>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</si>
  <si>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</si>
  <si>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</si>
  <si>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</si>
  <si>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</si>
  <si>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</si>
  <si>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</si>
  <si>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</si>
  <si>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</si>
  <si>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</si>
  <si>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</si>
  <si>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</si>
  <si>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</si>
  <si>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</si>
  <si>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</si>
  <si>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</si>
  <si>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</si>
  <si>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</si>
  <si>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</si>
  <si>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NPC (M€)</t>
  </si>
  <si>
    <t>Electrolyzer CF (%)</t>
  </si>
  <si>
    <t>Grid use (GWh)</t>
  </si>
  <si>
    <t>Electrolyzer (kW)</t>
  </si>
  <si>
    <t>PV (kW)</t>
  </si>
  <si>
    <t>PV Share (%)</t>
  </si>
  <si>
    <t>Surples PV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</si>
</sst>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ont="1" applyBorder="1"/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11" fontId="0" fillId="0" borderId="0" xfId="0" applyNumberFormat="1" applyFont="1" applyBorder="1"/>
    <xf numFmtId="0" fontId="0" fillId="0" borderId="0" xfId="0" applyFont="1" applyBorder="1" applyAlignment="1">
      <alignment horizontal="center" vertical="center" wrapText="1"/>
    </xf>
    <xf numFmtId="2" fontId="0" fillId="0" borderId="0" xfId="0" applyNumberFormat="1" applyFont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center" vertical="center"/>
    </xf>
    <xf numFmtId="2" fontId="0" fillId="2" borderId="0" xfId="0" applyNumberFormat="1" applyFont="1" applyFill="1" applyBorder="1" applyAlignment="1">
      <alignment horizontal="center" vertical="center"/>
    </xf>
    <xf numFmtId="0" fontId="0" fillId="0" borderId="0" xfId="0" applyFont="1" applyBorder="1" applyAlignment="1"/>
    <xf numFmtId="11" fontId="0" fillId="0" borderId="0" xfId="0" applyNumberFormat="1" applyFont="1" applyBorder="1" applyAlignment="1"/>
    <xf numFmtId="0" fontId="0" fillId="2" borderId="0" xfId="0" applyFont="1" applyFill="1" applyBorder="1" applyAlignment="1"/>
    <xf numFmtId="11" fontId="0" fillId="0" borderId="0" xfId="0" applyNumberFormat="1" applyFont="1" applyFill="1" applyBorder="1" applyAlignment="1"/>
    <xf numFmtId="0" fontId="0" fillId="0" borderId="0" xfId="0" applyFont="1" applyFill="1" applyBorder="1" applyAlignment="1"/>
    <xf numFmtId="0" fontId="0" fillId="0" borderId="0" xfId="0" applyBorder="1"/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Custom 15">
      <a:dk1>
        <a:sysClr val="windowText" lastClr="000000"/>
      </a:dk1>
      <a:lt1>
        <a:sysClr val="window" lastClr="FFFFFF"/>
      </a:lt1>
      <a:dk2>
        <a:srgbClr val="000000"/>
      </a:dk2>
      <a:lt2>
        <a:srgbClr val="E7E6E6"/>
      </a:lt2>
      <a:accent1>
        <a:srgbClr val="459FF8"/>
      </a:accent1>
      <a:accent2>
        <a:srgbClr val="ED7D31"/>
      </a:accent2>
      <a:accent3>
        <a:srgbClr val="757070"/>
      </a:accent3>
      <a:accent4>
        <a:srgbClr val="757070"/>
      </a:accent4>
      <a:accent5>
        <a:srgbClr val="D0CECE"/>
      </a:accent5>
      <a:accent6>
        <a:srgbClr val="70AD47"/>
      </a:accent6>
      <a:hlink>
        <a:srgbClr val="00000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8D73-348E-482D-ACD8-D6974478D4AE}">
  <dimension ref="A1:AK276"/>
  <sheetViews>
    <sheetView tabSelected="1" zoomScaleNormal="100" workbookViewId="0">
      <selection activeCell="I35" sqref="I35"/>
    </sheetView>
  </sheetViews>
  <sheetFormatPr defaultRowHeight="14.4" x14ac:dyDescent="0.3"/>
  <cols>
    <col min="1" max="1" width="3.109375" bestFit="1" customWidth="1"/>
    <col min="2" max="5" width="6.33203125" customWidth="1"/>
    <col min="6" max="6" width="9.44140625" customWidth="1"/>
    <col min="7" max="7" width="7.77734375" customWidth="1"/>
    <col min="8" max="10" width="6.33203125" customWidth="1"/>
  </cols>
  <sheetData>
    <row r="1" spans="1:37" ht="37.799999999999997" customHeight="1" x14ac:dyDescent="0.3">
      <c r="B1" s="9" t="s">
        <v>35</v>
      </c>
      <c r="C1" s="9" t="s">
        <v>32</v>
      </c>
      <c r="D1" s="9" t="s">
        <v>33</v>
      </c>
      <c r="E1" s="9" t="s">
        <v>34</v>
      </c>
      <c r="F1" s="9" t="s">
        <v>30</v>
      </c>
      <c r="G1" s="9" t="s">
        <v>31</v>
      </c>
      <c r="H1" s="9" t="s">
        <v>36</v>
      </c>
      <c r="I1" s="9" t="s">
        <v>29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D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28</v>
      </c>
    </row>
    <row r="2" spans="1:37" x14ac:dyDescent="0.3">
      <c r="A2" t="s">
        <v>46</v>
      </c>
      <c r="B2" s="5">
        <v>0</v>
      </c>
      <c r="C2" s="5">
        <v>0</v>
      </c>
      <c r="D2" s="5">
        <v>170</v>
      </c>
      <c r="E2" s="5">
        <v>300</v>
      </c>
      <c r="F2" s="6">
        <v>15.8268210115939</v>
      </c>
      <c r="G2" s="7">
        <v>1637912.94011132</v>
      </c>
      <c r="H2" s="6">
        <v>12.302674494455299</v>
      </c>
      <c r="I2" s="7">
        <v>0</v>
      </c>
      <c r="J2">
        <v>940561.68485058995</v>
      </c>
      <c r="K2">
        <v>0</v>
      </c>
      <c r="L2">
        <v>0</v>
      </c>
      <c r="M2">
        <v>370561.68485058902</v>
      </c>
      <c r="N2">
        <v>330000</v>
      </c>
      <c r="O2">
        <v>240000</v>
      </c>
      <c r="P2">
        <v>319427.75238346698</v>
      </c>
      <c r="Q2">
        <v>7411.2336970117904</v>
      </c>
      <c r="R2">
        <v>0</v>
      </c>
      <c r="S2">
        <v>1200</v>
      </c>
      <c r="T2">
        <v>0</v>
      </c>
      <c r="U2">
        <v>3300</v>
      </c>
      <c r="V2">
        <v>8867.9999999999909</v>
      </c>
      <c r="W2">
        <v>128503.73597602001</v>
      </c>
      <c r="X2">
        <v>249138.70961010599</v>
      </c>
      <c r="Y2">
        <v>281.05729114411997</v>
      </c>
      <c r="Z2">
        <v>0</v>
      </c>
      <c r="AA2">
        <v>103489.698841698</v>
      </c>
      <c r="AB2" s="1">
        <v>2.9508300564933498E-11</v>
      </c>
      <c r="AD2">
        <v>5496342.8571428498</v>
      </c>
      <c r="AE2">
        <f>AD2/D2/30</f>
        <v>1077.7142857142842</v>
      </c>
      <c r="AF2">
        <v>0</v>
      </c>
      <c r="AG2">
        <v>5496342.8571428498</v>
      </c>
      <c r="AH2">
        <v>102904.922870045</v>
      </c>
      <c r="AI2">
        <v>0</v>
      </c>
      <c r="AJ2">
        <v>0</v>
      </c>
      <c r="AK2" t="e" cm="1">
        <f t="array" ref="AK2">IF(SUMPRODUCT((B2&gt;=B$2:B$10)*(D2&gt;=D$2:D$10)*(E2&gt;=E$2:E$10)*(#REF!&gt;=#REF!)*(F2&gt;=F$2:F$10)*(ROW(B$2:B$10)&lt;&gt;ROW()))&gt;0,1,0)</f>
        <v>#REF!</v>
      </c>
    </row>
    <row r="3" spans="1:37" x14ac:dyDescent="0.3">
      <c r="A3" t="s">
        <v>47</v>
      </c>
      <c r="B3" s="5">
        <v>0</v>
      </c>
      <c r="C3" s="5">
        <v>0</v>
      </c>
      <c r="D3" s="5">
        <v>150</v>
      </c>
      <c r="E3" s="5">
        <v>400</v>
      </c>
      <c r="F3" s="6">
        <v>16.346014853465</v>
      </c>
      <c r="G3" s="7">
        <v>1694737.3064199099</v>
      </c>
      <c r="H3" s="6">
        <v>13.968525766470901</v>
      </c>
      <c r="I3" s="7">
        <v>0</v>
      </c>
      <c r="J3">
        <v>1018040.95752204</v>
      </c>
      <c r="K3">
        <v>0</v>
      </c>
      <c r="L3">
        <v>0</v>
      </c>
      <c r="M3">
        <v>338040.957522046</v>
      </c>
      <c r="N3">
        <v>440000</v>
      </c>
      <c r="O3">
        <v>240000</v>
      </c>
      <c r="P3">
        <v>311212.49093825201</v>
      </c>
      <c r="Q3">
        <v>6760.8191504409297</v>
      </c>
      <c r="R3">
        <v>0</v>
      </c>
      <c r="S3">
        <v>1200</v>
      </c>
      <c r="T3">
        <v>0</v>
      </c>
      <c r="U3">
        <v>4400</v>
      </c>
      <c r="V3">
        <v>7884</v>
      </c>
      <c r="W3">
        <v>117226.167006469</v>
      </c>
      <c r="X3">
        <v>247976.11975196001</v>
      </c>
      <c r="Y3">
        <v>281.57120118383398</v>
      </c>
      <c r="Z3">
        <v>0</v>
      </c>
      <c r="AA3">
        <v>103678.928571428</v>
      </c>
      <c r="AB3" s="1">
        <v>7.8795065710274999E-11</v>
      </c>
      <c r="AD3">
        <v>5506392.8571428498</v>
      </c>
      <c r="AE3">
        <f t="shared" ref="AE3:AE10" si="0">AD3/D3/30</f>
        <v>1223.6428571428555</v>
      </c>
      <c r="AF3">
        <v>0</v>
      </c>
      <c r="AG3">
        <v>5506392.8571428498</v>
      </c>
      <c r="AH3">
        <v>102904.922870045</v>
      </c>
      <c r="AI3">
        <v>0</v>
      </c>
      <c r="AJ3">
        <v>0</v>
      </c>
      <c r="AK3" t="e" cm="1">
        <f t="array" ref="AK3">IF(SUMPRODUCT((B3&gt;=B$2:B$10)*(D3&gt;=D$2:D$10)*(E3&gt;=E$2:E$10)*(#REF!&gt;=#REF!)*(F3&gt;=F$2:F$10)*(ROW(B$2:B$10)&lt;&gt;ROW()))&gt;0,1,0)</f>
        <v>#REF!</v>
      </c>
    </row>
    <row r="4" spans="1:37" x14ac:dyDescent="0.3">
      <c r="A4" t="s">
        <v>48</v>
      </c>
      <c r="B4" s="5">
        <v>0</v>
      </c>
      <c r="C4" s="5">
        <v>0</v>
      </c>
      <c r="D4" s="5">
        <v>130</v>
      </c>
      <c r="E4" s="5">
        <v>500</v>
      </c>
      <c r="F4" s="6">
        <v>16.8419697356731</v>
      </c>
      <c r="G4" s="7">
        <v>1749378.3551687801</v>
      </c>
      <c r="H4" s="6">
        <v>16.147260273972599</v>
      </c>
      <c r="I4" s="7">
        <v>0</v>
      </c>
      <c r="J4">
        <v>1094513.5747529401</v>
      </c>
      <c r="K4">
        <v>0</v>
      </c>
      <c r="L4">
        <v>0</v>
      </c>
      <c r="M4">
        <v>304513.57475294598</v>
      </c>
      <c r="N4">
        <v>550000</v>
      </c>
      <c r="O4">
        <v>240000</v>
      </c>
      <c r="P4">
        <v>302687.73426381999</v>
      </c>
      <c r="Q4">
        <v>6090.2714950589298</v>
      </c>
      <c r="R4">
        <v>0</v>
      </c>
      <c r="S4">
        <v>1200</v>
      </c>
      <c r="T4">
        <v>0</v>
      </c>
      <c r="U4">
        <v>5500</v>
      </c>
      <c r="V4">
        <v>6900</v>
      </c>
      <c r="W4">
        <v>105599.509099124</v>
      </c>
      <c r="X4">
        <v>246295.44646288099</v>
      </c>
      <c r="Y4">
        <v>282.09059000861998</v>
      </c>
      <c r="Z4">
        <v>0</v>
      </c>
      <c r="AA4">
        <v>103870.175675675</v>
      </c>
      <c r="AB4" s="1">
        <v>1.9973689369123801E-10</v>
      </c>
      <c r="AD4">
        <v>5516550</v>
      </c>
      <c r="AE4">
        <f t="shared" si="0"/>
        <v>1414.5</v>
      </c>
      <c r="AF4">
        <v>0</v>
      </c>
      <c r="AG4">
        <v>5516550</v>
      </c>
      <c r="AH4">
        <v>102904.922870045</v>
      </c>
      <c r="AI4">
        <v>0</v>
      </c>
      <c r="AJ4">
        <v>0</v>
      </c>
      <c r="AK4" t="e" cm="1">
        <f t="array" ref="AK4">IF(SUMPRODUCT((B4&gt;=B$2:B$10)*(D4&gt;=D$2:D$10)*(E4&gt;=E$2:E$10)*(#REF!&gt;=#REF!)*(F4&gt;=F$2:F$10)*(ROW(B$2:B$10)&lt;&gt;ROW()))&gt;0,1,0)</f>
        <v>#REF!</v>
      </c>
    </row>
    <row r="5" spans="1:37" x14ac:dyDescent="0.3">
      <c r="A5" t="s">
        <v>49</v>
      </c>
      <c r="B5" s="5">
        <v>0</v>
      </c>
      <c r="C5" s="5">
        <v>0</v>
      </c>
      <c r="D5" s="5">
        <v>110</v>
      </c>
      <c r="E5" s="5">
        <v>600</v>
      </c>
      <c r="F5" s="6">
        <v>17.349871890635502</v>
      </c>
      <c r="G5" s="7">
        <v>1805480.3549404601</v>
      </c>
      <c r="H5" s="6">
        <v>19.118558382257</v>
      </c>
      <c r="I5" s="7">
        <v>0</v>
      </c>
      <c r="J5">
        <v>1169758.1031533999</v>
      </c>
      <c r="K5">
        <v>0</v>
      </c>
      <c r="L5">
        <v>0</v>
      </c>
      <c r="M5">
        <v>269758.10315339902</v>
      </c>
      <c r="N5">
        <v>660000</v>
      </c>
      <c r="O5">
        <v>240000</v>
      </c>
      <c r="P5">
        <v>293785.40288133302</v>
      </c>
      <c r="Q5">
        <v>5395.1620630679899</v>
      </c>
      <c r="R5">
        <v>0</v>
      </c>
      <c r="S5">
        <v>1200</v>
      </c>
      <c r="T5">
        <v>0</v>
      </c>
      <c r="U5">
        <v>6600</v>
      </c>
      <c r="V5">
        <v>5915.99999999999</v>
      </c>
      <c r="W5">
        <v>93546.973370960797</v>
      </c>
      <c r="X5">
        <v>248107.26117291299</v>
      </c>
      <c r="Y5">
        <v>282.61436186146301</v>
      </c>
      <c r="Z5">
        <v>0</v>
      </c>
      <c r="AA5">
        <v>104063.036679536</v>
      </c>
      <c r="AB5" s="1">
        <v>7.0672039648960499E-11</v>
      </c>
      <c r="AD5">
        <v>5526792.8571428498</v>
      </c>
      <c r="AE5">
        <f t="shared" si="0"/>
        <v>1674.7857142857122</v>
      </c>
      <c r="AF5">
        <v>0</v>
      </c>
      <c r="AG5">
        <v>5526792.8571428498</v>
      </c>
      <c r="AH5">
        <v>102904.922870045</v>
      </c>
      <c r="AI5">
        <v>0</v>
      </c>
      <c r="AJ5">
        <v>0</v>
      </c>
      <c r="AK5" t="e" cm="1">
        <f t="array" ref="AK5">IF(SUMPRODUCT((B5&gt;=B$2:B$10)*(D5&gt;=D$2:D$10)*(E5&gt;=E$2:E$10)*(#REF!&gt;=#REF!)*(F5&gt;=F$2:F$10)*(ROW(B$2:B$10)&lt;&gt;ROW()))&gt;0,1,0)</f>
        <v>#REF!</v>
      </c>
    </row>
    <row r="6" spans="1:37" x14ac:dyDescent="0.3">
      <c r="A6" t="s">
        <v>50</v>
      </c>
      <c r="B6" s="5">
        <v>0</v>
      </c>
      <c r="C6" s="5">
        <v>0</v>
      </c>
      <c r="D6" s="5">
        <v>100</v>
      </c>
      <c r="E6" s="5">
        <v>700</v>
      </c>
      <c r="F6" s="6">
        <v>18.183873841071598</v>
      </c>
      <c r="G6" s="7">
        <v>1895812.7743462799</v>
      </c>
      <c r="H6" s="6">
        <v>21.0697977821265</v>
      </c>
      <c r="I6" s="7">
        <v>0</v>
      </c>
      <c r="J6">
        <v>1261824.89012729</v>
      </c>
      <c r="K6">
        <v>0</v>
      </c>
      <c r="L6">
        <v>0</v>
      </c>
      <c r="M6">
        <v>251824.890127297</v>
      </c>
      <c r="N6">
        <v>770000</v>
      </c>
      <c r="O6">
        <v>240000</v>
      </c>
      <c r="P6">
        <v>297618.30432570999</v>
      </c>
      <c r="Q6">
        <v>5036.4978025459504</v>
      </c>
      <c r="R6">
        <v>0</v>
      </c>
      <c r="S6">
        <v>1200</v>
      </c>
      <c r="T6">
        <v>0</v>
      </c>
      <c r="U6">
        <v>7700</v>
      </c>
      <c r="V6">
        <v>5423.99999999999</v>
      </c>
      <c r="W6">
        <v>87328.076582327296</v>
      </c>
      <c r="X6">
        <v>248758.359698452</v>
      </c>
      <c r="Y6">
        <v>283.14361249937798</v>
      </c>
      <c r="Z6">
        <v>0</v>
      </c>
      <c r="AA6">
        <v>104257.915057915</v>
      </c>
      <c r="AB6" s="1">
        <v>1.52526562808524E-10</v>
      </c>
      <c r="AD6">
        <v>5537142.8571428498</v>
      </c>
      <c r="AE6">
        <f t="shared" si="0"/>
        <v>1845.7142857142833</v>
      </c>
      <c r="AF6">
        <v>0</v>
      </c>
      <c r="AG6">
        <v>5537142.8571428498</v>
      </c>
      <c r="AH6">
        <v>102904.922870045</v>
      </c>
      <c r="AI6">
        <v>0</v>
      </c>
      <c r="AJ6">
        <v>0</v>
      </c>
      <c r="AK6" t="e" cm="1">
        <f t="array" ref="AK6">IF(SUMPRODUCT((B6&gt;=B$2:B$10)*(D6&gt;=D$2:D$10)*(E6&gt;=E$2:E$10)*(#REF!&gt;=#REF!)*(F6&gt;=F$2:F$10)*(ROW(B$2:B$10)&lt;&gt;ROW()))&gt;0,1,0)</f>
        <v>#REF!</v>
      </c>
    </row>
    <row r="7" spans="1:37" x14ac:dyDescent="0.3">
      <c r="A7" t="s">
        <v>51</v>
      </c>
      <c r="B7" s="5">
        <v>0</v>
      </c>
      <c r="C7" s="5">
        <v>0</v>
      </c>
      <c r="D7" s="5">
        <v>90</v>
      </c>
      <c r="E7" s="5">
        <v>800</v>
      </c>
      <c r="F7" s="6">
        <v>18.9950555044841</v>
      </c>
      <c r="G7" s="7">
        <v>1984032.9607235</v>
      </c>
      <c r="H7" s="6">
        <v>23.454011741682901</v>
      </c>
      <c r="I7" s="7">
        <v>0</v>
      </c>
      <c r="J7">
        <v>1353452.5977954001</v>
      </c>
      <c r="K7">
        <v>0</v>
      </c>
      <c r="L7">
        <v>0</v>
      </c>
      <c r="M7">
        <v>233452.59779540499</v>
      </c>
      <c r="N7">
        <v>880000</v>
      </c>
      <c r="O7">
        <v>240000</v>
      </c>
      <c r="P7">
        <v>301316.21126758301</v>
      </c>
      <c r="Q7">
        <v>4669.0519559081104</v>
      </c>
      <c r="R7">
        <v>0</v>
      </c>
      <c r="S7">
        <v>1200</v>
      </c>
      <c r="T7">
        <v>0</v>
      </c>
      <c r="U7">
        <v>8800</v>
      </c>
      <c r="V7">
        <v>4931.99999999999</v>
      </c>
      <c r="W7">
        <v>80956.915451506007</v>
      </c>
      <c r="X7">
        <v>248023.571016175</v>
      </c>
      <c r="Y7">
        <v>283.66519283819298</v>
      </c>
      <c r="Z7">
        <v>0</v>
      </c>
      <c r="AA7">
        <v>104449.969111969</v>
      </c>
      <c r="AB7" s="1">
        <v>2.3276523565738999E-10</v>
      </c>
      <c r="AD7">
        <v>5547342.8571428498</v>
      </c>
      <c r="AE7">
        <f t="shared" si="0"/>
        <v>2054.5714285714257</v>
      </c>
      <c r="AF7">
        <v>0</v>
      </c>
      <c r="AG7">
        <v>5547342.8571428498</v>
      </c>
      <c r="AH7">
        <v>102904.922870045</v>
      </c>
      <c r="AI7">
        <v>0</v>
      </c>
      <c r="AJ7">
        <v>0</v>
      </c>
      <c r="AK7" t="e" cm="1">
        <f t="array" ref="AK7">IF(SUMPRODUCT((B7&gt;=B$2:B$10)*(D7&gt;=D$2:D$10)*(E7&gt;=E$2:E$10)*(#REF!&gt;=#REF!)*(F7&gt;=F$2:F$10)*(ROW(B$2:B$10)&lt;&gt;ROW()))&gt;0,1,0)</f>
        <v>#REF!</v>
      </c>
    </row>
    <row r="8" spans="1:37" x14ac:dyDescent="0.3">
      <c r="A8" t="s">
        <v>52</v>
      </c>
      <c r="B8" s="5">
        <v>0</v>
      </c>
      <c r="C8" s="5">
        <v>0</v>
      </c>
      <c r="D8" s="5">
        <v>80</v>
      </c>
      <c r="E8" s="5">
        <v>1000</v>
      </c>
      <c r="F8" s="6">
        <v>20.9715223652214</v>
      </c>
      <c r="G8" s="7">
        <v>2198564.0409900402</v>
      </c>
      <c r="H8" s="6">
        <v>26.4832028701891</v>
      </c>
      <c r="I8" s="7">
        <v>0</v>
      </c>
      <c r="J8">
        <v>1554572.2896734499</v>
      </c>
      <c r="K8">
        <v>0</v>
      </c>
      <c r="L8">
        <v>0</v>
      </c>
      <c r="M8">
        <v>214572.289673455</v>
      </c>
      <c r="N8">
        <v>1100000</v>
      </c>
      <c r="O8">
        <v>240000</v>
      </c>
      <c r="P8">
        <v>321767.62538195599</v>
      </c>
      <c r="Q8">
        <v>4291.44579346911</v>
      </c>
      <c r="R8">
        <v>0</v>
      </c>
      <c r="S8">
        <v>1200</v>
      </c>
      <c r="T8">
        <v>0</v>
      </c>
      <c r="U8">
        <v>11000</v>
      </c>
      <c r="V8">
        <v>4440</v>
      </c>
      <c r="W8">
        <v>74409.584118458893</v>
      </c>
      <c r="X8">
        <v>247529.829079633</v>
      </c>
      <c r="Y8">
        <v>284.71273654387898</v>
      </c>
      <c r="Z8">
        <v>0</v>
      </c>
      <c r="AA8">
        <v>104835.69111969099</v>
      </c>
      <c r="AB8" s="1">
        <v>3.3125264436202001E-10</v>
      </c>
      <c r="AD8">
        <v>5567828.57142857</v>
      </c>
      <c r="AE8">
        <f t="shared" si="0"/>
        <v>2319.9285714285711</v>
      </c>
      <c r="AF8">
        <v>0</v>
      </c>
      <c r="AG8">
        <v>5567828.57142857</v>
      </c>
      <c r="AH8">
        <v>102904.922870045</v>
      </c>
      <c r="AI8">
        <v>0</v>
      </c>
      <c r="AJ8">
        <v>0</v>
      </c>
      <c r="AK8" t="e" cm="1">
        <f t="array" ref="AK8">IF(SUMPRODUCT((B8&gt;=B$2:B$10)*(D8&gt;=D$2:D$10)*(E8&gt;=E$2:E$10)*(#REF!&gt;=#REF!)*(F8&gt;=F$2:F$10)*(ROW(B$2:B$10)&lt;&gt;ROW()))&gt;0,1,0)</f>
        <v>#REF!</v>
      </c>
    </row>
    <row r="9" spans="1:37" x14ac:dyDescent="0.3">
      <c r="A9" t="s">
        <v>53</v>
      </c>
      <c r="B9" s="5">
        <v>0</v>
      </c>
      <c r="C9" s="5">
        <v>0</v>
      </c>
      <c r="D9" s="5">
        <v>70</v>
      </c>
      <c r="E9" s="5">
        <v>1100</v>
      </c>
      <c r="F9" s="6">
        <v>21.7358100836266</v>
      </c>
      <c r="G9" s="7">
        <v>2282871.8924619299</v>
      </c>
      <c r="H9" s="6">
        <v>30.322080887149301</v>
      </c>
      <c r="I9" s="7">
        <v>0</v>
      </c>
      <c r="J9">
        <v>1645093.9030136401</v>
      </c>
      <c r="K9">
        <v>0</v>
      </c>
      <c r="L9">
        <v>0</v>
      </c>
      <c r="M9">
        <v>195093.903013642</v>
      </c>
      <c r="N9">
        <v>1210000</v>
      </c>
      <c r="O9">
        <v>240000</v>
      </c>
      <c r="P9">
        <v>325125.46470608801</v>
      </c>
      <c r="Q9">
        <v>3901.8780602728498</v>
      </c>
      <c r="R9">
        <v>0</v>
      </c>
      <c r="S9">
        <v>1200</v>
      </c>
      <c r="T9">
        <v>0</v>
      </c>
      <c r="U9">
        <v>12100</v>
      </c>
      <c r="V9">
        <v>3948</v>
      </c>
      <c r="W9">
        <v>67654.850537245205</v>
      </c>
      <c r="X9">
        <v>244712.438792323</v>
      </c>
      <c r="Y9">
        <v>285.23541263970799</v>
      </c>
      <c r="Z9">
        <v>0</v>
      </c>
      <c r="AA9">
        <v>105028.148648648</v>
      </c>
      <c r="AB9" s="1">
        <v>3.4460719991865702E-10</v>
      </c>
      <c r="AD9">
        <v>5578050</v>
      </c>
      <c r="AE9">
        <f t="shared" si="0"/>
        <v>2656.2142857142853</v>
      </c>
      <c r="AF9">
        <v>0</v>
      </c>
      <c r="AG9">
        <v>5578050</v>
      </c>
      <c r="AH9">
        <v>102904.922870045</v>
      </c>
      <c r="AI9">
        <v>0</v>
      </c>
      <c r="AJ9">
        <v>0</v>
      </c>
      <c r="AK9" t="e" cm="1">
        <f t="array" ref="AK9">IF(SUMPRODUCT((B9&gt;=B$2:B$10)*(D9&gt;=D$2:D$10)*(E9&gt;=E$2:E$10)*(#REF!&gt;=#REF!)*(F9&gt;=F$2:F$10)*(ROW(B$2:B$10)&lt;&gt;ROW()))&gt;0,1,0)</f>
        <v>#REF!</v>
      </c>
    </row>
    <row r="10" spans="1:37" x14ac:dyDescent="0.3">
      <c r="A10" t="s">
        <v>54</v>
      </c>
      <c r="B10" s="5">
        <v>0</v>
      </c>
      <c r="C10" s="5">
        <v>0</v>
      </c>
      <c r="D10" s="5">
        <v>60</v>
      </c>
      <c r="E10" s="5">
        <v>1200</v>
      </c>
      <c r="F10" s="6">
        <v>22.496560420753401</v>
      </c>
      <c r="G10" s="7">
        <v>2367083.5707877302</v>
      </c>
      <c r="H10" s="6">
        <v>35.440313111545898</v>
      </c>
      <c r="I10" s="7">
        <v>0</v>
      </c>
      <c r="J10">
        <v>1734895.6601181</v>
      </c>
      <c r="K10">
        <v>0</v>
      </c>
      <c r="L10">
        <v>0</v>
      </c>
      <c r="M10">
        <v>174895.66011810899</v>
      </c>
      <c r="N10">
        <v>1320000</v>
      </c>
      <c r="O10">
        <v>240000</v>
      </c>
      <c r="P10">
        <v>328261.984935619</v>
      </c>
      <c r="Q10">
        <v>3497.9132023621901</v>
      </c>
      <c r="R10">
        <v>0</v>
      </c>
      <c r="S10">
        <v>1200</v>
      </c>
      <c r="T10">
        <v>0</v>
      </c>
      <c r="U10">
        <v>13200</v>
      </c>
      <c r="V10">
        <v>3456</v>
      </c>
      <c r="W10">
        <v>60650.484521169798</v>
      </c>
      <c r="X10">
        <v>242989.68531561701</v>
      </c>
      <c r="Y10">
        <v>285.75589722150897</v>
      </c>
      <c r="Z10">
        <v>0</v>
      </c>
      <c r="AA10">
        <v>105219.799227799</v>
      </c>
      <c r="AB10" s="1">
        <v>3.7630945978353902E-10</v>
      </c>
      <c r="AD10">
        <v>5588228.57142857</v>
      </c>
      <c r="AE10">
        <f t="shared" si="0"/>
        <v>3104.5714285714275</v>
      </c>
      <c r="AF10">
        <v>0</v>
      </c>
      <c r="AG10">
        <v>5588228.57142857</v>
      </c>
      <c r="AH10">
        <v>102904.922870045</v>
      </c>
      <c r="AI10">
        <v>0</v>
      </c>
      <c r="AJ10">
        <v>0</v>
      </c>
      <c r="AK10" t="e" cm="1">
        <f t="array" ref="AK10">IF(SUMPRODUCT((B10&gt;=B$2:B$10)*(D10&gt;=D$2:D$10)*(E10&gt;=E$2:E$10)*(#REF!&gt;=#REF!)*(F10&gt;=F$2:F$10)*(ROW(B$2:B$10)&lt;&gt;ROW()))&gt;0,1,0)</f>
        <v>#REF!</v>
      </c>
    </row>
    <row r="11" spans="1:37" x14ac:dyDescent="0.3">
      <c r="AA11" s="1"/>
    </row>
    <row r="12" spans="1:37" x14ac:dyDescent="0.3">
      <c r="AA12" s="1"/>
    </row>
    <row r="13" spans="1:37" x14ac:dyDescent="0.3">
      <c r="AA13" s="1"/>
    </row>
    <row r="14" spans="1:37" x14ac:dyDescent="0.3">
      <c r="AA14" s="1"/>
    </row>
    <row r="15" spans="1:37" x14ac:dyDescent="0.3">
      <c r="N15" s="1"/>
    </row>
    <row r="16" spans="1:37" x14ac:dyDescent="0.3">
      <c r="N16" s="1"/>
    </row>
    <row r="25" spans="15:27" x14ac:dyDescent="0.3">
      <c r="AA25" s="1"/>
    </row>
    <row r="26" spans="15:27" x14ac:dyDescent="0.3">
      <c r="O26" s="1"/>
    </row>
    <row r="27" spans="15:27" x14ac:dyDescent="0.3">
      <c r="O27" s="1"/>
    </row>
    <row r="28" spans="15:27" x14ac:dyDescent="0.3">
      <c r="O28" s="1"/>
    </row>
    <row r="29" spans="15:27" x14ac:dyDescent="0.3">
      <c r="AA29" s="1"/>
    </row>
    <row r="30" spans="15:27" x14ac:dyDescent="0.3">
      <c r="AA30" s="1"/>
    </row>
    <row r="31" spans="15:27" x14ac:dyDescent="0.3">
      <c r="AA31" s="1"/>
    </row>
    <row r="32" spans="15:27" x14ac:dyDescent="0.3">
      <c r="AA32" s="1"/>
    </row>
    <row r="33" spans="27:27" x14ac:dyDescent="0.3">
      <c r="AA33" s="1"/>
    </row>
    <row r="34" spans="27:27" x14ac:dyDescent="0.3">
      <c r="AA34" s="1"/>
    </row>
    <row r="35" spans="27:27" x14ac:dyDescent="0.3">
      <c r="AA35" s="1"/>
    </row>
    <row r="36" spans="27:27" x14ac:dyDescent="0.3">
      <c r="AA36" s="1"/>
    </row>
    <row r="37" spans="27:27" x14ac:dyDescent="0.3">
      <c r="AA37" s="1"/>
    </row>
    <row r="38" spans="27:27" x14ac:dyDescent="0.3">
      <c r="AA38" s="1"/>
    </row>
    <row r="39" spans="27:27" x14ac:dyDescent="0.3">
      <c r="AA39" s="1"/>
    </row>
    <row r="40" spans="27:27" x14ac:dyDescent="0.3">
      <c r="AA40" s="1"/>
    </row>
    <row r="41" spans="27:27" x14ac:dyDescent="0.3">
      <c r="AA41" s="1"/>
    </row>
    <row r="42" spans="27:27" x14ac:dyDescent="0.3">
      <c r="AA42" s="1"/>
    </row>
    <row r="43" spans="27:27" x14ac:dyDescent="0.3">
      <c r="AA43" s="1"/>
    </row>
    <row r="44" spans="27:27" x14ac:dyDescent="0.3">
      <c r="AA44" s="1"/>
    </row>
    <row r="45" spans="27:27" x14ac:dyDescent="0.3">
      <c r="AA45" s="1"/>
    </row>
    <row r="46" spans="27:27" x14ac:dyDescent="0.3">
      <c r="AA46" s="1"/>
    </row>
    <row r="47" spans="27:27" x14ac:dyDescent="0.3">
      <c r="AA47" s="1"/>
    </row>
    <row r="48" spans="27:27" x14ac:dyDescent="0.3">
      <c r="AA48" s="1"/>
    </row>
    <row r="49" spans="27:27" x14ac:dyDescent="0.3">
      <c r="AA49" s="1"/>
    </row>
    <row r="50" spans="27:27" x14ac:dyDescent="0.3">
      <c r="AA50" s="1"/>
    </row>
    <row r="51" spans="27:27" x14ac:dyDescent="0.3">
      <c r="AA51" s="1"/>
    </row>
    <row r="52" spans="27:27" x14ac:dyDescent="0.3">
      <c r="AA52" s="1"/>
    </row>
    <row r="53" spans="27:27" x14ac:dyDescent="0.3">
      <c r="AA53" s="1"/>
    </row>
    <row r="54" spans="27:27" x14ac:dyDescent="0.3">
      <c r="AA54" s="1"/>
    </row>
    <row r="55" spans="27:27" x14ac:dyDescent="0.3">
      <c r="AA55" s="1"/>
    </row>
    <row r="56" spans="27:27" x14ac:dyDescent="0.3">
      <c r="AA56" s="1"/>
    </row>
    <row r="57" spans="27:27" x14ac:dyDescent="0.3">
      <c r="AA57" s="1"/>
    </row>
    <row r="58" spans="27:27" x14ac:dyDescent="0.3">
      <c r="AA58" s="1"/>
    </row>
    <row r="59" spans="27:27" x14ac:dyDescent="0.3">
      <c r="AA59" s="1"/>
    </row>
    <row r="60" spans="27:27" x14ac:dyDescent="0.3">
      <c r="AA60" s="1"/>
    </row>
    <row r="61" spans="27:27" x14ac:dyDescent="0.3">
      <c r="AA61" s="1"/>
    </row>
    <row r="62" spans="27:27" x14ac:dyDescent="0.3">
      <c r="AA62" s="1"/>
    </row>
    <row r="63" spans="27:27" x14ac:dyDescent="0.3">
      <c r="AA63" s="1"/>
    </row>
    <row r="64" spans="27:27" x14ac:dyDescent="0.3">
      <c r="AA64" s="1"/>
    </row>
    <row r="65" spans="27:27" x14ac:dyDescent="0.3">
      <c r="AA65" s="1"/>
    </row>
    <row r="66" spans="27:27" x14ac:dyDescent="0.3">
      <c r="AA66" s="1"/>
    </row>
    <row r="67" spans="27:27" x14ac:dyDescent="0.3">
      <c r="AA67" s="1"/>
    </row>
    <row r="68" spans="27:27" x14ac:dyDescent="0.3">
      <c r="AA68" s="1"/>
    </row>
    <row r="69" spans="27:27" x14ac:dyDescent="0.3">
      <c r="AA69" s="1"/>
    </row>
    <row r="70" spans="27:27" x14ac:dyDescent="0.3">
      <c r="AA70" s="1"/>
    </row>
    <row r="71" spans="27:27" x14ac:dyDescent="0.3">
      <c r="AA71" s="1"/>
    </row>
    <row r="72" spans="27:27" x14ac:dyDescent="0.3">
      <c r="AA72" s="1"/>
    </row>
    <row r="73" spans="27:27" x14ac:dyDescent="0.3">
      <c r="AA73" s="1"/>
    </row>
    <row r="74" spans="27:27" x14ac:dyDescent="0.3">
      <c r="AA74" s="1"/>
    </row>
    <row r="75" spans="27:27" x14ac:dyDescent="0.3">
      <c r="AA75" s="1"/>
    </row>
    <row r="76" spans="27:27" x14ac:dyDescent="0.3">
      <c r="AA76" s="1"/>
    </row>
    <row r="77" spans="27:27" x14ac:dyDescent="0.3">
      <c r="AA77" s="1"/>
    </row>
    <row r="78" spans="27:27" x14ac:dyDescent="0.3">
      <c r="AA78" s="1"/>
    </row>
    <row r="79" spans="27:27" x14ac:dyDescent="0.3">
      <c r="AA79" s="1"/>
    </row>
    <row r="80" spans="27:27" x14ac:dyDescent="0.3">
      <c r="AA80" s="1"/>
    </row>
    <row r="81" spans="27:27" x14ac:dyDescent="0.3">
      <c r="AA81" s="1"/>
    </row>
    <row r="82" spans="27:27" x14ac:dyDescent="0.3">
      <c r="AA82" s="1"/>
    </row>
    <row r="83" spans="27:27" x14ac:dyDescent="0.3">
      <c r="AA83" s="1"/>
    </row>
    <row r="84" spans="27:27" x14ac:dyDescent="0.3">
      <c r="AA84" s="1"/>
    </row>
    <row r="85" spans="27:27" x14ac:dyDescent="0.3">
      <c r="AA85" s="1"/>
    </row>
    <row r="86" spans="27:27" x14ac:dyDescent="0.3">
      <c r="AA86" s="1"/>
    </row>
    <row r="87" spans="27:27" x14ac:dyDescent="0.3">
      <c r="AA87" s="1"/>
    </row>
    <row r="88" spans="27:27" x14ac:dyDescent="0.3">
      <c r="AA88" s="1"/>
    </row>
    <row r="89" spans="27:27" x14ac:dyDescent="0.3">
      <c r="AA89" s="1"/>
    </row>
    <row r="90" spans="27:27" x14ac:dyDescent="0.3">
      <c r="AA90" s="1"/>
    </row>
    <row r="91" spans="27:27" x14ac:dyDescent="0.3">
      <c r="AA91" s="1"/>
    </row>
    <row r="92" spans="27:27" x14ac:dyDescent="0.3">
      <c r="AA92" s="1"/>
    </row>
    <row r="93" spans="27:27" x14ac:dyDescent="0.3">
      <c r="AA93" s="1"/>
    </row>
    <row r="94" spans="27:27" x14ac:dyDescent="0.3">
      <c r="AA94" s="1"/>
    </row>
    <row r="95" spans="27:27" x14ac:dyDescent="0.3">
      <c r="AA95" s="1"/>
    </row>
    <row r="96" spans="27:27" x14ac:dyDescent="0.3">
      <c r="AA96" s="1"/>
    </row>
    <row r="97" spans="27:27" x14ac:dyDescent="0.3">
      <c r="AA97" s="1"/>
    </row>
    <row r="98" spans="27:27" x14ac:dyDescent="0.3">
      <c r="AA98" s="1"/>
    </row>
    <row r="99" spans="27:27" x14ac:dyDescent="0.3">
      <c r="AA99" s="1"/>
    </row>
    <row r="100" spans="27:27" x14ac:dyDescent="0.3">
      <c r="AA100" s="1"/>
    </row>
    <row r="101" spans="27:27" x14ac:dyDescent="0.3">
      <c r="AA101" s="1"/>
    </row>
    <row r="102" spans="27:27" x14ac:dyDescent="0.3">
      <c r="AA102" s="1"/>
    </row>
    <row r="103" spans="27:27" x14ac:dyDescent="0.3">
      <c r="AA103" s="1"/>
    </row>
    <row r="104" spans="27:27" x14ac:dyDescent="0.3">
      <c r="AA104" s="1"/>
    </row>
    <row r="105" spans="27:27" x14ac:dyDescent="0.3">
      <c r="AA105" s="1"/>
    </row>
    <row r="106" spans="27:27" x14ac:dyDescent="0.3">
      <c r="AA106" s="1"/>
    </row>
    <row r="107" spans="27:27" x14ac:dyDescent="0.3">
      <c r="AA107" s="1"/>
    </row>
    <row r="108" spans="27:27" x14ac:dyDescent="0.3">
      <c r="AA108" s="1"/>
    </row>
    <row r="109" spans="27:27" x14ac:dyDescent="0.3">
      <c r="AA109" s="1"/>
    </row>
    <row r="110" spans="27:27" x14ac:dyDescent="0.3">
      <c r="AA110" s="1"/>
    </row>
    <row r="111" spans="27:27" x14ac:dyDescent="0.3">
      <c r="AA111" s="1"/>
    </row>
    <row r="112" spans="27:27" x14ac:dyDescent="0.3">
      <c r="AA112" s="1"/>
    </row>
    <row r="113" spans="27:27" x14ac:dyDescent="0.3">
      <c r="AA113" s="1"/>
    </row>
    <row r="114" spans="27:27" x14ac:dyDescent="0.3">
      <c r="AA114" s="1"/>
    </row>
    <row r="115" spans="27:27" x14ac:dyDescent="0.3">
      <c r="AA115" s="1"/>
    </row>
    <row r="116" spans="27:27" x14ac:dyDescent="0.3">
      <c r="AA116" s="1"/>
    </row>
    <row r="117" spans="27:27" x14ac:dyDescent="0.3">
      <c r="AA117" s="1"/>
    </row>
    <row r="118" spans="27:27" x14ac:dyDescent="0.3">
      <c r="AA118" s="1"/>
    </row>
    <row r="119" spans="27:27" x14ac:dyDescent="0.3">
      <c r="AA119" s="1"/>
    </row>
    <row r="120" spans="27:27" x14ac:dyDescent="0.3">
      <c r="AA120" s="1"/>
    </row>
    <row r="121" spans="27:27" x14ac:dyDescent="0.3">
      <c r="AA121" s="1"/>
    </row>
    <row r="122" spans="27:27" x14ac:dyDescent="0.3">
      <c r="AA122" s="1"/>
    </row>
    <row r="123" spans="27:27" x14ac:dyDescent="0.3">
      <c r="AA123" s="1"/>
    </row>
    <row r="124" spans="27:27" x14ac:dyDescent="0.3">
      <c r="AA124" s="1"/>
    </row>
    <row r="125" spans="27:27" x14ac:dyDescent="0.3">
      <c r="AA125" s="1"/>
    </row>
    <row r="126" spans="27:27" x14ac:dyDescent="0.3">
      <c r="AA126" s="1"/>
    </row>
    <row r="127" spans="27:27" x14ac:dyDescent="0.3">
      <c r="AA127" s="1"/>
    </row>
    <row r="128" spans="27:27" x14ac:dyDescent="0.3">
      <c r="AA128" s="1"/>
    </row>
    <row r="129" spans="27:27" x14ac:dyDescent="0.3">
      <c r="AA129" s="1"/>
    </row>
    <row r="130" spans="27:27" x14ac:dyDescent="0.3">
      <c r="AA130" s="1"/>
    </row>
    <row r="131" spans="27:27" x14ac:dyDescent="0.3">
      <c r="AA131" s="1"/>
    </row>
    <row r="132" spans="27:27" x14ac:dyDescent="0.3">
      <c r="AA132" s="1"/>
    </row>
    <row r="133" spans="27:27" x14ac:dyDescent="0.3">
      <c r="AA133" s="1"/>
    </row>
    <row r="134" spans="27:27" x14ac:dyDescent="0.3">
      <c r="AA134" s="1"/>
    </row>
    <row r="135" spans="27:27" x14ac:dyDescent="0.3">
      <c r="AA135" s="1"/>
    </row>
    <row r="136" spans="27:27" x14ac:dyDescent="0.3">
      <c r="AA136" s="1"/>
    </row>
    <row r="137" spans="27:27" x14ac:dyDescent="0.3">
      <c r="AA137" s="1"/>
    </row>
    <row r="138" spans="27:27" x14ac:dyDescent="0.3">
      <c r="AA138" s="1"/>
    </row>
    <row r="139" spans="27:27" x14ac:dyDescent="0.3">
      <c r="AA139" s="1"/>
    </row>
    <row r="140" spans="27:27" x14ac:dyDescent="0.3">
      <c r="AA140" s="1"/>
    </row>
    <row r="141" spans="27:27" x14ac:dyDescent="0.3">
      <c r="AA141" s="1"/>
    </row>
    <row r="142" spans="27:27" x14ac:dyDescent="0.3">
      <c r="AA142" s="1"/>
    </row>
    <row r="143" spans="27:27" x14ac:dyDescent="0.3">
      <c r="AA143" s="1"/>
    </row>
    <row r="144" spans="27:27" x14ac:dyDescent="0.3">
      <c r="AA144" s="1"/>
    </row>
    <row r="145" spans="27:27" x14ac:dyDescent="0.3">
      <c r="AA145" s="1"/>
    </row>
    <row r="146" spans="27:27" x14ac:dyDescent="0.3">
      <c r="AA146" s="1"/>
    </row>
    <row r="147" spans="27:27" x14ac:dyDescent="0.3">
      <c r="AA147" s="1"/>
    </row>
    <row r="148" spans="27:27" x14ac:dyDescent="0.3">
      <c r="AA148" s="1"/>
    </row>
    <row r="149" spans="27:27" x14ac:dyDescent="0.3">
      <c r="AA149" s="1"/>
    </row>
    <row r="150" spans="27:27" x14ac:dyDescent="0.3">
      <c r="AA150" s="1"/>
    </row>
    <row r="151" spans="27:27" x14ac:dyDescent="0.3">
      <c r="AA151" s="1"/>
    </row>
    <row r="152" spans="27:27" x14ac:dyDescent="0.3">
      <c r="AA152" s="1"/>
    </row>
    <row r="153" spans="27:27" x14ac:dyDescent="0.3">
      <c r="AA153" s="1"/>
    </row>
    <row r="154" spans="27:27" x14ac:dyDescent="0.3">
      <c r="AA154" s="1"/>
    </row>
    <row r="155" spans="27:27" x14ac:dyDescent="0.3">
      <c r="AA155" s="1"/>
    </row>
    <row r="156" spans="27:27" x14ac:dyDescent="0.3">
      <c r="AA156" s="1"/>
    </row>
    <row r="157" spans="27:27" x14ac:dyDescent="0.3">
      <c r="AA157" s="1"/>
    </row>
    <row r="158" spans="27:27" x14ac:dyDescent="0.3">
      <c r="AA158" s="1"/>
    </row>
    <row r="159" spans="27:27" x14ac:dyDescent="0.3">
      <c r="AA159" s="1"/>
    </row>
    <row r="160" spans="27:27" x14ac:dyDescent="0.3">
      <c r="AA160" s="1"/>
    </row>
    <row r="161" spans="27:27" x14ac:dyDescent="0.3">
      <c r="AA161" s="1"/>
    </row>
    <row r="162" spans="27:27" x14ac:dyDescent="0.3">
      <c r="AA162" s="1"/>
    </row>
    <row r="163" spans="27:27" x14ac:dyDescent="0.3">
      <c r="AA163" s="1"/>
    </row>
    <row r="164" spans="27:27" x14ac:dyDescent="0.3">
      <c r="AA164" s="1"/>
    </row>
    <row r="165" spans="27:27" x14ac:dyDescent="0.3">
      <c r="AA165" s="1"/>
    </row>
    <row r="166" spans="27:27" x14ac:dyDescent="0.3">
      <c r="AA166" s="1"/>
    </row>
    <row r="167" spans="27:27" x14ac:dyDescent="0.3">
      <c r="AA167" s="1"/>
    </row>
    <row r="168" spans="27:27" x14ac:dyDescent="0.3">
      <c r="AA168" s="1"/>
    </row>
    <row r="169" spans="27:27" x14ac:dyDescent="0.3">
      <c r="AA169" s="1"/>
    </row>
    <row r="170" spans="27:27" x14ac:dyDescent="0.3">
      <c r="AA170" s="1"/>
    </row>
    <row r="171" spans="27:27" x14ac:dyDescent="0.3">
      <c r="AA171" s="1"/>
    </row>
    <row r="172" spans="27:27" x14ac:dyDescent="0.3">
      <c r="AA172" s="1"/>
    </row>
    <row r="173" spans="27:27" x14ac:dyDescent="0.3">
      <c r="AA173" s="1"/>
    </row>
    <row r="174" spans="27:27" x14ac:dyDescent="0.3">
      <c r="AA174" s="1"/>
    </row>
    <row r="175" spans="27:27" x14ac:dyDescent="0.3">
      <c r="AA175" s="1"/>
    </row>
    <row r="176" spans="27:27" x14ac:dyDescent="0.3">
      <c r="AA176" s="1"/>
    </row>
    <row r="177" spans="27:27" x14ac:dyDescent="0.3">
      <c r="AA177" s="1"/>
    </row>
    <row r="178" spans="27:27" x14ac:dyDescent="0.3">
      <c r="AA178" s="1"/>
    </row>
    <row r="179" spans="27:27" x14ac:dyDescent="0.3">
      <c r="AA179" s="1"/>
    </row>
    <row r="180" spans="27:27" x14ac:dyDescent="0.3">
      <c r="AA180" s="1"/>
    </row>
    <row r="181" spans="27:27" x14ac:dyDescent="0.3">
      <c r="AA181" s="1"/>
    </row>
    <row r="182" spans="27:27" x14ac:dyDescent="0.3">
      <c r="AA182" s="1"/>
    </row>
    <row r="183" spans="27:27" x14ac:dyDescent="0.3">
      <c r="AA183" s="1"/>
    </row>
    <row r="184" spans="27:27" x14ac:dyDescent="0.3">
      <c r="AA184" s="1"/>
    </row>
    <row r="185" spans="27:27" x14ac:dyDescent="0.3">
      <c r="AA185" s="1"/>
    </row>
    <row r="186" spans="27:27" x14ac:dyDescent="0.3">
      <c r="AA186" s="1"/>
    </row>
    <row r="187" spans="27:27" x14ac:dyDescent="0.3">
      <c r="AA187" s="1"/>
    </row>
    <row r="188" spans="27:27" x14ac:dyDescent="0.3">
      <c r="AA188" s="1"/>
    </row>
    <row r="189" spans="27:27" x14ac:dyDescent="0.3">
      <c r="AA189" s="1"/>
    </row>
    <row r="190" spans="27:27" x14ac:dyDescent="0.3">
      <c r="AA190" s="1"/>
    </row>
    <row r="191" spans="27:27" x14ac:dyDescent="0.3">
      <c r="AA191" s="1"/>
    </row>
    <row r="192" spans="27:27" x14ac:dyDescent="0.3">
      <c r="AA192" s="1"/>
    </row>
    <row r="193" spans="27:27" x14ac:dyDescent="0.3">
      <c r="AA193" s="1"/>
    </row>
    <row r="194" spans="27:27" x14ac:dyDescent="0.3">
      <c r="AA194" s="1"/>
    </row>
    <row r="195" spans="27:27" x14ac:dyDescent="0.3">
      <c r="AA195" s="1"/>
    </row>
    <row r="196" spans="27:27" x14ac:dyDescent="0.3">
      <c r="AA196" s="1"/>
    </row>
    <row r="197" spans="27:27" x14ac:dyDescent="0.3">
      <c r="AA197" s="1"/>
    </row>
    <row r="198" spans="27:27" x14ac:dyDescent="0.3">
      <c r="AA198" s="1"/>
    </row>
    <row r="199" spans="27:27" x14ac:dyDescent="0.3">
      <c r="AA199" s="1"/>
    </row>
    <row r="200" spans="27:27" x14ac:dyDescent="0.3">
      <c r="AA200" s="1"/>
    </row>
    <row r="201" spans="27:27" x14ac:dyDescent="0.3">
      <c r="AA201" s="1"/>
    </row>
    <row r="202" spans="27:27" x14ac:dyDescent="0.3">
      <c r="AA202" s="1"/>
    </row>
    <row r="203" spans="27:27" x14ac:dyDescent="0.3">
      <c r="AA203" s="1"/>
    </row>
    <row r="204" spans="27:27" x14ac:dyDescent="0.3">
      <c r="AA204" s="1"/>
    </row>
    <row r="205" spans="27:27" x14ac:dyDescent="0.3">
      <c r="AA205" s="1"/>
    </row>
    <row r="206" spans="27:27" x14ac:dyDescent="0.3">
      <c r="AA206" s="1"/>
    </row>
    <row r="207" spans="27:27" x14ac:dyDescent="0.3">
      <c r="AA207" s="1"/>
    </row>
    <row r="208" spans="27:27" x14ac:dyDescent="0.3">
      <c r="AA208" s="1"/>
    </row>
    <row r="209" spans="27:27" x14ac:dyDescent="0.3">
      <c r="AA209" s="1"/>
    </row>
    <row r="210" spans="27:27" x14ac:dyDescent="0.3">
      <c r="AA210" s="1"/>
    </row>
    <row r="211" spans="27:27" x14ac:dyDescent="0.3">
      <c r="AA211" s="1"/>
    </row>
    <row r="212" spans="27:27" x14ac:dyDescent="0.3">
      <c r="AA212" s="1"/>
    </row>
    <row r="213" spans="27:27" x14ac:dyDescent="0.3">
      <c r="AA213" s="1"/>
    </row>
    <row r="214" spans="27:27" x14ac:dyDescent="0.3">
      <c r="AA214" s="1"/>
    </row>
    <row r="215" spans="27:27" x14ac:dyDescent="0.3">
      <c r="AA215" s="1"/>
    </row>
    <row r="216" spans="27:27" x14ac:dyDescent="0.3">
      <c r="AA216" s="1"/>
    </row>
    <row r="217" spans="27:27" x14ac:dyDescent="0.3">
      <c r="AA217" s="1"/>
    </row>
    <row r="218" spans="27:27" x14ac:dyDescent="0.3">
      <c r="AA218" s="1"/>
    </row>
    <row r="219" spans="27:27" x14ac:dyDescent="0.3">
      <c r="AA219" s="1"/>
    </row>
    <row r="220" spans="27:27" x14ac:dyDescent="0.3">
      <c r="AA220" s="1"/>
    </row>
    <row r="221" spans="27:27" x14ac:dyDescent="0.3">
      <c r="AA221" s="1"/>
    </row>
    <row r="222" spans="27:27" x14ac:dyDescent="0.3">
      <c r="AA222" s="1"/>
    </row>
    <row r="223" spans="27:27" x14ac:dyDescent="0.3">
      <c r="AA223" s="1"/>
    </row>
    <row r="224" spans="27:27" x14ac:dyDescent="0.3">
      <c r="AA224" s="1"/>
    </row>
    <row r="225" spans="27:27" x14ac:dyDescent="0.3">
      <c r="AA225" s="1"/>
    </row>
    <row r="226" spans="27:27" x14ac:dyDescent="0.3">
      <c r="AA226" s="1"/>
    </row>
    <row r="227" spans="27:27" x14ac:dyDescent="0.3">
      <c r="AA227" s="1"/>
    </row>
    <row r="228" spans="27:27" x14ac:dyDescent="0.3">
      <c r="AA228" s="1"/>
    </row>
    <row r="229" spans="27:27" x14ac:dyDescent="0.3">
      <c r="AA229" s="1"/>
    </row>
    <row r="230" spans="27:27" x14ac:dyDescent="0.3">
      <c r="AA230" s="1"/>
    </row>
    <row r="231" spans="27:27" x14ac:dyDescent="0.3">
      <c r="AA231" s="1"/>
    </row>
    <row r="232" spans="27:27" x14ac:dyDescent="0.3">
      <c r="AA232" s="1"/>
    </row>
    <row r="233" spans="27:27" x14ac:dyDescent="0.3">
      <c r="AA233" s="1"/>
    </row>
    <row r="234" spans="27:27" x14ac:dyDescent="0.3">
      <c r="AA234" s="1"/>
    </row>
    <row r="235" spans="27:27" x14ac:dyDescent="0.3">
      <c r="AA235" s="1"/>
    </row>
    <row r="236" spans="27:27" x14ac:dyDescent="0.3">
      <c r="AA236" s="1"/>
    </row>
    <row r="237" spans="27:27" x14ac:dyDescent="0.3">
      <c r="AA237" s="1"/>
    </row>
    <row r="238" spans="27:27" x14ac:dyDescent="0.3">
      <c r="AA238" s="1"/>
    </row>
    <row r="239" spans="27:27" x14ac:dyDescent="0.3">
      <c r="AA239" s="1"/>
    </row>
    <row r="240" spans="27:27" x14ac:dyDescent="0.3">
      <c r="AA240" s="1"/>
    </row>
    <row r="241" spans="27:27" x14ac:dyDescent="0.3">
      <c r="AA241" s="1"/>
    </row>
    <row r="242" spans="27:27" x14ac:dyDescent="0.3">
      <c r="AA242" s="1"/>
    </row>
    <row r="243" spans="27:27" x14ac:dyDescent="0.3">
      <c r="AA243" s="1"/>
    </row>
    <row r="244" spans="27:27" x14ac:dyDescent="0.3">
      <c r="AA244" s="1"/>
    </row>
    <row r="245" spans="27:27" x14ac:dyDescent="0.3">
      <c r="AA245" s="1"/>
    </row>
    <row r="246" spans="27:27" x14ac:dyDescent="0.3">
      <c r="AA246" s="1"/>
    </row>
    <row r="247" spans="27:27" x14ac:dyDescent="0.3">
      <c r="AA247" s="1"/>
    </row>
    <row r="248" spans="27:27" x14ac:dyDescent="0.3">
      <c r="AA248" s="1"/>
    </row>
    <row r="249" spans="27:27" x14ac:dyDescent="0.3">
      <c r="AA249" s="1"/>
    </row>
    <row r="250" spans="27:27" x14ac:dyDescent="0.3">
      <c r="AA250" s="1"/>
    </row>
    <row r="251" spans="27:27" x14ac:dyDescent="0.3">
      <c r="AA251" s="1"/>
    </row>
    <row r="252" spans="27:27" x14ac:dyDescent="0.3">
      <c r="AA252" s="1"/>
    </row>
    <row r="253" spans="27:27" x14ac:dyDescent="0.3">
      <c r="AA253" s="1"/>
    </row>
    <row r="254" spans="27:27" x14ac:dyDescent="0.3">
      <c r="AA254" s="1"/>
    </row>
    <row r="255" spans="27:27" x14ac:dyDescent="0.3">
      <c r="AA255" s="1"/>
    </row>
    <row r="256" spans="27:27" x14ac:dyDescent="0.3">
      <c r="AA256" s="1"/>
    </row>
    <row r="257" spans="27:27" x14ac:dyDescent="0.3">
      <c r="AA257" s="1"/>
    </row>
    <row r="258" spans="27:27" x14ac:dyDescent="0.3">
      <c r="AA258" s="1"/>
    </row>
    <row r="259" spans="27:27" x14ac:dyDescent="0.3">
      <c r="AA259" s="1"/>
    </row>
    <row r="260" spans="27:27" x14ac:dyDescent="0.3">
      <c r="AA260" s="1"/>
    </row>
    <row r="261" spans="27:27" x14ac:dyDescent="0.3">
      <c r="AA261" s="1"/>
    </row>
    <row r="262" spans="27:27" x14ac:dyDescent="0.3">
      <c r="AA262" s="1"/>
    </row>
    <row r="263" spans="27:27" x14ac:dyDescent="0.3">
      <c r="AA263" s="1"/>
    </row>
    <row r="264" spans="27:27" x14ac:dyDescent="0.3">
      <c r="AA264" s="1"/>
    </row>
    <row r="265" spans="27:27" x14ac:dyDescent="0.3">
      <c r="AA265" s="1"/>
    </row>
    <row r="266" spans="27:27" x14ac:dyDescent="0.3">
      <c r="AA266" s="1"/>
    </row>
    <row r="267" spans="27:27" x14ac:dyDescent="0.3">
      <c r="AA267" s="1"/>
    </row>
    <row r="268" spans="27:27" x14ac:dyDescent="0.3">
      <c r="AA268" s="1"/>
    </row>
    <row r="269" spans="27:27" x14ac:dyDescent="0.3">
      <c r="AA269" s="1"/>
    </row>
    <row r="270" spans="27:27" x14ac:dyDescent="0.3">
      <c r="AA270" s="1"/>
    </row>
    <row r="271" spans="27:27" x14ac:dyDescent="0.3">
      <c r="AA271" s="1"/>
    </row>
    <row r="272" spans="27:27" x14ac:dyDescent="0.3">
      <c r="AA272" s="1"/>
    </row>
    <row r="273" spans="27:27" x14ac:dyDescent="0.3">
      <c r="AA273" s="1"/>
    </row>
    <row r="274" spans="27:27" x14ac:dyDescent="0.3">
      <c r="AA274" s="1"/>
    </row>
    <row r="275" spans="27:27" x14ac:dyDescent="0.3">
      <c r="AA275" s="1"/>
    </row>
    <row r="276" spans="27:27" x14ac:dyDescent="0.3">
      <c r="AA2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B0C2-0F73-4BF2-9CC2-2E834B6EB8C7}">
  <dimension ref="A1:AJ10"/>
  <sheetViews>
    <sheetView zoomScaleNormal="100" workbookViewId="0">
      <selection activeCell="K20" sqref="K20"/>
    </sheetView>
  </sheetViews>
  <sheetFormatPr defaultRowHeight="14.4" x14ac:dyDescent="0.3"/>
  <cols>
    <col min="1" max="1" width="3.109375" bestFit="1" customWidth="1"/>
    <col min="2" max="10" width="6.33203125" customWidth="1"/>
    <col min="11" max="11" width="8.5546875" bestFit="1" customWidth="1"/>
    <col min="12" max="20" width="5.77734375" customWidth="1"/>
  </cols>
  <sheetData>
    <row r="1" spans="1:36" x14ac:dyDescent="0.3">
      <c r="A1" s="19"/>
      <c r="B1" s="5" t="s">
        <v>35</v>
      </c>
      <c r="C1" s="5" t="s">
        <v>32</v>
      </c>
      <c r="D1" s="5" t="s">
        <v>33</v>
      </c>
      <c r="E1" s="5" t="s">
        <v>34</v>
      </c>
      <c r="F1" s="5" t="s">
        <v>30</v>
      </c>
      <c r="G1" s="5" t="s">
        <v>31</v>
      </c>
      <c r="H1" s="5" t="s">
        <v>19</v>
      </c>
      <c r="I1" s="5" t="s">
        <v>29</v>
      </c>
      <c r="J1" s="19" t="s">
        <v>0</v>
      </c>
      <c r="K1" s="19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20</v>
      </c>
      <c r="AD1" t="s">
        <v>21</v>
      </c>
      <c r="AE1" t="s">
        <v>29</v>
      </c>
      <c r="AF1" t="s">
        <v>22</v>
      </c>
      <c r="AG1" t="s">
        <v>23</v>
      </c>
      <c r="AH1" t="s">
        <v>24</v>
      </c>
      <c r="AI1" t="s">
        <v>25</v>
      </c>
    </row>
    <row r="2" spans="1:36" x14ac:dyDescent="0.3">
      <c r="A2" s="19" t="s">
        <v>37</v>
      </c>
      <c r="B2" s="20">
        <v>200</v>
      </c>
      <c r="C2" s="20">
        <v>0</v>
      </c>
      <c r="D2" s="20">
        <v>180</v>
      </c>
      <c r="E2" s="20">
        <v>200</v>
      </c>
      <c r="F2" s="21">
        <v>15.761470470014</v>
      </c>
      <c r="G2" s="20">
        <v>1628441.0014774699</v>
      </c>
      <c r="H2" s="21">
        <v>11.5998967257374</v>
      </c>
      <c r="I2" s="21">
        <v>26.608601047893984</v>
      </c>
      <c r="J2" s="19">
        <v>1026496.4004074601</v>
      </c>
      <c r="K2" s="19">
        <v>180000</v>
      </c>
      <c r="L2">
        <v>0</v>
      </c>
      <c r="M2">
        <v>386496.40040746599</v>
      </c>
      <c r="N2">
        <v>220000</v>
      </c>
      <c r="O2">
        <v>240000</v>
      </c>
      <c r="P2">
        <v>356486.032622214</v>
      </c>
      <c r="Q2">
        <v>7729.9280081493298</v>
      </c>
      <c r="R2">
        <v>2700</v>
      </c>
      <c r="S2">
        <v>1200</v>
      </c>
      <c r="T2">
        <v>0</v>
      </c>
      <c r="U2">
        <v>2200</v>
      </c>
      <c r="V2">
        <v>9359.9999999999909</v>
      </c>
      <c r="W2">
        <v>134029.59189822499</v>
      </c>
      <c r="X2">
        <v>182481.20554814301</v>
      </c>
      <c r="Y2">
        <v>280.590542705453</v>
      </c>
      <c r="Z2">
        <v>71332.819541278805</v>
      </c>
      <c r="AA2">
        <v>103317.83475250901</v>
      </c>
      <c r="AB2">
        <v>1.5008470656750501E-11</v>
      </c>
      <c r="AC2">
        <v>5487215.1471428499</v>
      </c>
      <c r="AD2">
        <v>1460071.1871428499</v>
      </c>
      <c r="AE2">
        <f>100*AD2/AC2</f>
        <v>26.608601047893984</v>
      </c>
      <c r="AF2">
        <v>4027143.96</v>
      </c>
      <c r="AG2">
        <v>102904.922870045</v>
      </c>
      <c r="AH2">
        <v>5619717.4414285701</v>
      </c>
      <c r="AI2">
        <v>4159646.2542857099</v>
      </c>
      <c r="AJ2">
        <v>0</v>
      </c>
    </row>
    <row r="3" spans="1:36" x14ac:dyDescent="0.3">
      <c r="A3" t="s">
        <v>38</v>
      </c>
      <c r="B3" s="2">
        <v>200</v>
      </c>
      <c r="C3" s="2">
        <v>0</v>
      </c>
      <c r="D3" s="2">
        <v>150</v>
      </c>
      <c r="E3" s="2">
        <v>300</v>
      </c>
      <c r="F3" s="3">
        <v>15.9157156379959</v>
      </c>
      <c r="G3" s="2">
        <v>1647770.4910446</v>
      </c>
      <c r="H3" s="3">
        <v>13.948600076103499</v>
      </c>
      <c r="I3" s="3">
        <v>28.918808927943324</v>
      </c>
      <c r="J3">
        <v>1088040.95752204</v>
      </c>
      <c r="K3">
        <v>180000</v>
      </c>
      <c r="L3">
        <v>0</v>
      </c>
      <c r="M3">
        <v>338040.957522046</v>
      </c>
      <c r="N3">
        <v>330000</v>
      </c>
      <c r="O3">
        <v>240000</v>
      </c>
      <c r="P3">
        <v>335808.41258126497</v>
      </c>
      <c r="Q3">
        <v>6760.8191504409297</v>
      </c>
      <c r="R3">
        <v>2700</v>
      </c>
      <c r="S3">
        <v>1200</v>
      </c>
      <c r="T3">
        <v>0</v>
      </c>
      <c r="U3">
        <v>3300</v>
      </c>
      <c r="V3">
        <v>7884</v>
      </c>
      <c r="W3">
        <v>117226.167006469</v>
      </c>
      <c r="X3">
        <v>175068.68527697399</v>
      </c>
      <c r="Y3">
        <v>281.16954816296499</v>
      </c>
      <c r="Z3">
        <v>68654.900890311794</v>
      </c>
      <c r="AA3">
        <v>103531.033635135</v>
      </c>
      <c r="AB3">
        <v>4.4959750208509501E-11</v>
      </c>
      <c r="AC3">
        <v>5498538.1500000004</v>
      </c>
      <c r="AD3">
        <v>1590111.7414285699</v>
      </c>
      <c r="AE3">
        <f t="shared" ref="AE3:AE10" si="0">100*AD3/AC3</f>
        <v>28.918808927943324</v>
      </c>
      <c r="AF3">
        <v>3908426.4085714198</v>
      </c>
      <c r="AG3">
        <v>102904.922870045</v>
      </c>
      <c r="AH3">
        <v>5619717.4414285701</v>
      </c>
      <c r="AI3">
        <v>4029605.6999999899</v>
      </c>
      <c r="AJ3">
        <v>0</v>
      </c>
    </row>
    <row r="4" spans="1:36" x14ac:dyDescent="0.3">
      <c r="A4" t="s">
        <v>39</v>
      </c>
      <c r="B4" s="2">
        <v>200</v>
      </c>
      <c r="C4" s="2">
        <v>0</v>
      </c>
      <c r="D4" s="2">
        <v>120</v>
      </c>
      <c r="E4" s="2">
        <v>400</v>
      </c>
      <c r="F4" s="3">
        <v>16.053866227966299</v>
      </c>
      <c r="G4" s="2">
        <v>1665508.7185613399</v>
      </c>
      <c r="H4" s="3">
        <v>17.471788201239399</v>
      </c>
      <c r="I4" s="3">
        <v>29.947917785390846</v>
      </c>
      <c r="J4">
        <v>1147306.4615865799</v>
      </c>
      <c r="K4">
        <v>180000</v>
      </c>
      <c r="L4">
        <v>0</v>
      </c>
      <c r="M4">
        <v>287306.46158658899</v>
      </c>
      <c r="N4">
        <v>440000</v>
      </c>
      <c r="O4">
        <v>240000</v>
      </c>
      <c r="P4">
        <v>314430.09991232899</v>
      </c>
      <c r="Q4">
        <v>5746.1292317317802</v>
      </c>
      <c r="R4">
        <v>2700</v>
      </c>
      <c r="S4">
        <v>1200</v>
      </c>
      <c r="T4">
        <v>0</v>
      </c>
      <c r="U4">
        <v>4400</v>
      </c>
      <c r="V4">
        <v>6408</v>
      </c>
      <c r="W4">
        <v>99632.409915271593</v>
      </c>
      <c r="X4">
        <v>171098.74911709901</v>
      </c>
      <c r="Y4">
        <v>281.75069998931701</v>
      </c>
      <c r="Z4">
        <v>67240.752669938694</v>
      </c>
      <c r="AA4">
        <v>103745.022844401</v>
      </c>
      <c r="AB4">
        <v>3.2763791679712898E-11</v>
      </c>
      <c r="AC4">
        <v>5509903.1271428503</v>
      </c>
      <c r="AD4">
        <v>1650101.2585714201</v>
      </c>
      <c r="AE4">
        <f t="shared" si="0"/>
        <v>29.947917785390846</v>
      </c>
      <c r="AF4">
        <v>3859801.8685714202</v>
      </c>
      <c r="AG4">
        <v>102904.922870045</v>
      </c>
      <c r="AH4">
        <v>5619717.4414285701</v>
      </c>
      <c r="AI4">
        <v>3969616.18285714</v>
      </c>
      <c r="AJ4">
        <v>0</v>
      </c>
    </row>
    <row r="5" spans="1:36" x14ac:dyDescent="0.3">
      <c r="A5" t="s">
        <v>40</v>
      </c>
      <c r="B5" s="2">
        <v>200</v>
      </c>
      <c r="C5" s="2">
        <v>0</v>
      </c>
      <c r="D5" s="2">
        <v>110</v>
      </c>
      <c r="E5" s="2">
        <v>600</v>
      </c>
      <c r="F5" s="3">
        <v>18.059388697600401</v>
      </c>
      <c r="G5" s="2">
        <v>1881350.43017493</v>
      </c>
      <c r="H5" s="3">
        <v>19.139266871256599</v>
      </c>
      <c r="I5" s="3">
        <v>31.717112108167392</v>
      </c>
      <c r="J5">
        <v>1349758.1031533999</v>
      </c>
      <c r="K5">
        <v>180000</v>
      </c>
      <c r="L5">
        <v>0</v>
      </c>
      <c r="M5">
        <v>269758.10315339902</v>
      </c>
      <c r="N5">
        <v>660000</v>
      </c>
      <c r="O5">
        <v>240000</v>
      </c>
      <c r="P5">
        <v>335291.02065391699</v>
      </c>
      <c r="Q5">
        <v>5395.1620630679899</v>
      </c>
      <c r="R5">
        <v>2700</v>
      </c>
      <c r="S5">
        <v>1200</v>
      </c>
      <c r="T5">
        <v>0</v>
      </c>
      <c r="U5">
        <v>6600</v>
      </c>
      <c r="V5">
        <v>5915.99999999999</v>
      </c>
      <c r="W5">
        <v>93546.973370960797</v>
      </c>
      <c r="X5">
        <v>167117.73949101401</v>
      </c>
      <c r="Y5">
        <v>282.92047889637303</v>
      </c>
      <c r="Z5">
        <v>64646.326973250601</v>
      </c>
      <c r="AA5">
        <v>104175.753768725</v>
      </c>
      <c r="AB5">
        <v>9.1095226600097095E-11</v>
      </c>
      <c r="AC5">
        <v>5532779.26714285</v>
      </c>
      <c r="AD5">
        <v>1754837.8028571401</v>
      </c>
      <c r="AE5">
        <f t="shared" si="0"/>
        <v>31.717112108167392</v>
      </c>
      <c r="AF5">
        <v>3777941.4642857099</v>
      </c>
      <c r="AG5">
        <v>102904.922870045</v>
      </c>
      <c r="AH5">
        <v>5619717.4414285701</v>
      </c>
      <c r="AI5">
        <v>3864879.6385714202</v>
      </c>
      <c r="AJ5">
        <v>0</v>
      </c>
    </row>
    <row r="6" spans="1:36" x14ac:dyDescent="0.3">
      <c r="A6" t="s">
        <v>41</v>
      </c>
      <c r="B6" s="2">
        <v>200</v>
      </c>
      <c r="C6" s="2">
        <v>0</v>
      </c>
      <c r="D6" s="2">
        <v>100</v>
      </c>
      <c r="E6" s="2">
        <v>700</v>
      </c>
      <c r="F6" s="3">
        <v>18.8801011306413</v>
      </c>
      <c r="G6" s="2">
        <v>1970889.34015555</v>
      </c>
      <c r="H6" s="3">
        <v>21.096443949771601</v>
      </c>
      <c r="I6" s="3">
        <v>32.843932033406588</v>
      </c>
      <c r="J6">
        <v>1441824.89012729</v>
      </c>
      <c r="K6">
        <v>180000</v>
      </c>
      <c r="L6">
        <v>0</v>
      </c>
      <c r="M6">
        <v>251824.890127297</v>
      </c>
      <c r="N6">
        <v>770000</v>
      </c>
      <c r="O6">
        <v>240000</v>
      </c>
      <c r="P6">
        <v>339123.92209829303</v>
      </c>
      <c r="Q6">
        <v>5036.4978025459504</v>
      </c>
      <c r="R6">
        <v>2700</v>
      </c>
      <c r="S6">
        <v>1200</v>
      </c>
      <c r="T6">
        <v>0</v>
      </c>
      <c r="U6">
        <v>7700</v>
      </c>
      <c r="V6">
        <v>5423.99999999999</v>
      </c>
      <c r="W6">
        <v>87328.076582327296</v>
      </c>
      <c r="X6">
        <v>164887.27784235799</v>
      </c>
      <c r="Y6">
        <v>283.50169340002702</v>
      </c>
      <c r="Z6">
        <v>62558.328188121399</v>
      </c>
      <c r="AA6">
        <v>104389.76605675599</v>
      </c>
      <c r="AB6">
        <v>1.7357258487647499E-10</v>
      </c>
      <c r="AC6">
        <v>5544145.4699999997</v>
      </c>
      <c r="AD6">
        <v>1820915.3699999901</v>
      </c>
      <c r="AE6">
        <f t="shared" si="0"/>
        <v>32.843932033406588</v>
      </c>
      <c r="AF6">
        <v>3723230.1</v>
      </c>
      <c r="AG6">
        <v>102904.922870045</v>
      </c>
      <c r="AH6">
        <v>5619717.4414285701</v>
      </c>
      <c r="AI6">
        <v>3798802.07142857</v>
      </c>
      <c r="AJ6">
        <v>0</v>
      </c>
    </row>
    <row r="7" spans="1:36" x14ac:dyDescent="0.3">
      <c r="A7" t="s">
        <v>42</v>
      </c>
      <c r="B7" s="2">
        <v>200</v>
      </c>
      <c r="C7" s="2">
        <v>0</v>
      </c>
      <c r="D7" s="2">
        <v>90</v>
      </c>
      <c r="E7" s="2">
        <v>800</v>
      </c>
      <c r="F7" s="3">
        <v>19.667248226096401</v>
      </c>
      <c r="G7" s="2">
        <v>2057269.08986921</v>
      </c>
      <c r="H7" s="3">
        <v>23.488556298470598</v>
      </c>
      <c r="I7" s="3">
        <v>34.824532474379083</v>
      </c>
      <c r="J7">
        <v>1533452.5977954001</v>
      </c>
      <c r="K7">
        <v>180000</v>
      </c>
      <c r="L7">
        <v>0</v>
      </c>
      <c r="M7">
        <v>233452.59779540499</v>
      </c>
      <c r="N7">
        <v>880000</v>
      </c>
      <c r="O7">
        <v>240000</v>
      </c>
      <c r="P7">
        <v>342821.82904016698</v>
      </c>
      <c r="Q7">
        <v>4669.0519559081104</v>
      </c>
      <c r="R7">
        <v>2700</v>
      </c>
      <c r="S7">
        <v>1200</v>
      </c>
      <c r="T7">
        <v>0</v>
      </c>
      <c r="U7">
        <v>8800</v>
      </c>
      <c r="V7">
        <v>4931.99999999999</v>
      </c>
      <c r="W7">
        <v>80956.915451506007</v>
      </c>
      <c r="X7">
        <v>159684.97008361199</v>
      </c>
      <c r="Y7">
        <v>284.082992934424</v>
      </c>
      <c r="Z7">
        <v>59931.305494410401</v>
      </c>
      <c r="AA7">
        <v>104603.80965444</v>
      </c>
      <c r="AB7">
        <v>2.5325170532093003E-10</v>
      </c>
      <c r="AC7">
        <v>5555513.3357142797</v>
      </c>
      <c r="AD7">
        <v>1934681.5457142801</v>
      </c>
      <c r="AE7">
        <f t="shared" si="0"/>
        <v>34.824532474379083</v>
      </c>
      <c r="AF7">
        <v>3620831.79</v>
      </c>
      <c r="AG7">
        <v>102904.922870045</v>
      </c>
      <c r="AH7">
        <v>5619717.4414285701</v>
      </c>
      <c r="AI7">
        <v>3685035.8957142802</v>
      </c>
      <c r="AJ7">
        <v>0</v>
      </c>
    </row>
    <row r="8" spans="1:36" x14ac:dyDescent="0.3">
      <c r="A8" t="s">
        <v>43</v>
      </c>
      <c r="B8" s="2">
        <v>200</v>
      </c>
      <c r="C8" s="2">
        <v>0</v>
      </c>
      <c r="D8" s="2">
        <v>80</v>
      </c>
      <c r="E8" s="2">
        <v>900</v>
      </c>
      <c r="F8" s="3">
        <v>20.457167156543399</v>
      </c>
      <c r="G8" s="2">
        <v>2144247.6311151399</v>
      </c>
      <c r="H8" s="3">
        <v>26.4783421599804</v>
      </c>
      <c r="I8" s="3">
        <v>35.924315823559162</v>
      </c>
      <c r="J8">
        <v>1624572.2896734499</v>
      </c>
      <c r="K8">
        <v>180000</v>
      </c>
      <c r="L8">
        <v>0</v>
      </c>
      <c r="M8">
        <v>214572.289673455</v>
      </c>
      <c r="N8">
        <v>990000</v>
      </c>
      <c r="O8">
        <v>240000</v>
      </c>
      <c r="P8">
        <v>346363.54702496901</v>
      </c>
      <c r="Q8">
        <v>4291.44579346911</v>
      </c>
      <c r="R8">
        <v>2700</v>
      </c>
      <c r="S8">
        <v>1200</v>
      </c>
      <c r="T8">
        <v>0</v>
      </c>
      <c r="U8">
        <v>9900</v>
      </c>
      <c r="V8">
        <v>4440</v>
      </c>
      <c r="W8">
        <v>74409.584118458893</v>
      </c>
      <c r="X8">
        <v>156555.89844017001</v>
      </c>
      <c r="Y8">
        <v>284.66048054932099</v>
      </c>
      <c r="Z8">
        <v>57938.348622454498</v>
      </c>
      <c r="AA8">
        <v>104816.44964362901</v>
      </c>
      <c r="AB8">
        <v>3.3280045386163599E-10</v>
      </c>
      <c r="AC8">
        <v>5566806.65571428</v>
      </c>
      <c r="AD8">
        <v>1999837.2042857099</v>
      </c>
      <c r="AE8">
        <f t="shared" si="0"/>
        <v>35.924315823559162</v>
      </c>
      <c r="AF8">
        <v>3566969.4514285699</v>
      </c>
      <c r="AG8">
        <v>102904.922870045</v>
      </c>
      <c r="AH8">
        <v>5619717.4414285701</v>
      </c>
      <c r="AI8">
        <v>3619880.2371428502</v>
      </c>
      <c r="AJ8">
        <v>0</v>
      </c>
    </row>
    <row r="9" spans="1:36" x14ac:dyDescent="0.3">
      <c r="A9" t="s">
        <v>44</v>
      </c>
      <c r="B9" s="2">
        <v>200</v>
      </c>
      <c r="C9" s="2">
        <v>0</v>
      </c>
      <c r="D9" s="2">
        <v>70</v>
      </c>
      <c r="E9" s="2">
        <v>1000</v>
      </c>
      <c r="F9" s="3">
        <v>21.219945868990699</v>
      </c>
      <c r="G9" s="2">
        <v>2228688.9612140502</v>
      </c>
      <c r="H9" s="3">
        <v>30.3220445904389</v>
      </c>
      <c r="I9" s="3">
        <v>36.902038418476415</v>
      </c>
      <c r="J9">
        <v>1715093.9030136401</v>
      </c>
      <c r="K9">
        <v>180000</v>
      </c>
      <c r="L9">
        <v>0</v>
      </c>
      <c r="M9">
        <v>195093.903013642</v>
      </c>
      <c r="N9">
        <v>1100000</v>
      </c>
      <c r="O9">
        <v>240000</v>
      </c>
      <c r="P9">
        <v>349721.38634909998</v>
      </c>
      <c r="Q9">
        <v>3901.8780602728498</v>
      </c>
      <c r="R9">
        <v>2700</v>
      </c>
      <c r="S9">
        <v>1200</v>
      </c>
      <c r="T9">
        <v>0</v>
      </c>
      <c r="U9">
        <v>11000</v>
      </c>
      <c r="V9">
        <v>3948</v>
      </c>
      <c r="W9">
        <v>67654.850537245205</v>
      </c>
      <c r="X9">
        <v>152801.824026421</v>
      </c>
      <c r="Y9">
        <v>285.23507120182302</v>
      </c>
      <c r="Z9">
        <v>56868.2377835597</v>
      </c>
      <c r="AA9">
        <v>105028.022925868</v>
      </c>
      <c r="AB9">
        <v>3.6023327178367798E-10</v>
      </c>
      <c r="AC9">
        <v>5578043.3228571396</v>
      </c>
      <c r="AD9">
        <v>2058411.69</v>
      </c>
      <c r="AE9">
        <f t="shared" si="0"/>
        <v>36.902038418476415</v>
      </c>
      <c r="AF9">
        <v>3519631.6328571402</v>
      </c>
      <c r="AG9">
        <v>102904.922870045</v>
      </c>
      <c r="AH9">
        <v>5619717.4414285701</v>
      </c>
      <c r="AI9">
        <v>3561305.7514285701</v>
      </c>
      <c r="AJ9">
        <v>0</v>
      </c>
    </row>
    <row r="10" spans="1:36" x14ac:dyDescent="0.3">
      <c r="A10" t="s">
        <v>45</v>
      </c>
      <c r="B10" s="2">
        <v>200</v>
      </c>
      <c r="C10" s="2">
        <v>0</v>
      </c>
      <c r="D10" s="2">
        <v>60</v>
      </c>
      <c r="E10" s="2">
        <v>1100</v>
      </c>
      <c r="F10" s="3">
        <v>21.984792621880501</v>
      </c>
      <c r="G10" s="2">
        <v>2311756.0147720799</v>
      </c>
      <c r="H10" s="3">
        <v>35.4176469341161</v>
      </c>
      <c r="I10" s="3">
        <v>38.090026817921647</v>
      </c>
      <c r="J10">
        <v>1804895.6601181</v>
      </c>
      <c r="K10">
        <v>180000</v>
      </c>
      <c r="L10">
        <v>0</v>
      </c>
      <c r="M10">
        <v>174895.66011810899</v>
      </c>
      <c r="N10">
        <v>1210000</v>
      </c>
      <c r="O10">
        <v>240000</v>
      </c>
      <c r="P10">
        <v>352857.90657863201</v>
      </c>
      <c r="Q10">
        <v>3497.9132023621901</v>
      </c>
      <c r="R10">
        <v>2700</v>
      </c>
      <c r="S10">
        <v>1200</v>
      </c>
      <c r="T10">
        <v>0</v>
      </c>
      <c r="U10">
        <v>12100</v>
      </c>
      <c r="V10">
        <v>3456</v>
      </c>
      <c r="W10">
        <v>60650.484521169798</v>
      </c>
      <c r="X10">
        <v>149195.03669504699</v>
      </c>
      <c r="Y10">
        <v>285.57313941551303</v>
      </c>
      <c r="Z10">
        <v>56128.646280294401</v>
      </c>
      <c r="AA10">
        <v>105152.504939768</v>
      </c>
      <c r="AB10">
        <v>4.2645744078941197E-10</v>
      </c>
      <c r="AC10">
        <v>5584654.5685714204</v>
      </c>
      <c r="AD10">
        <v>2127196.4228571402</v>
      </c>
      <c r="AE10">
        <f t="shared" si="0"/>
        <v>38.090026817921647</v>
      </c>
      <c r="AF10">
        <v>3457458.1457142802</v>
      </c>
      <c r="AG10">
        <v>102904.922870045</v>
      </c>
      <c r="AH10">
        <v>5619717.4414285701</v>
      </c>
      <c r="AI10">
        <v>3492521.0185714201</v>
      </c>
      <c r="AJ1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F431-36EF-453A-9157-E118BD330098}">
  <dimension ref="A1:AM651"/>
  <sheetViews>
    <sheetView zoomScale="85" zoomScaleNormal="85" workbookViewId="0">
      <selection activeCell="N32" sqref="N32"/>
    </sheetView>
  </sheetViews>
  <sheetFormatPr defaultRowHeight="14.4" x14ac:dyDescent="0.3"/>
  <cols>
    <col min="1" max="1" width="4.109375" style="14" bestFit="1" customWidth="1"/>
    <col min="2" max="10" width="6.33203125" style="14" customWidth="1"/>
    <col min="11" max="11" width="8.88671875" style="14"/>
    <col min="12" max="12" width="12.6640625" style="14" customWidth="1"/>
    <col min="13" max="16384" width="8.88671875" style="14"/>
  </cols>
  <sheetData>
    <row r="1" spans="1:39" x14ac:dyDescent="0.3">
      <c r="A1" s="5"/>
      <c r="B1" s="5" t="s">
        <v>121</v>
      </c>
      <c r="C1" s="5" t="s">
        <v>32</v>
      </c>
      <c r="D1" s="5" t="s">
        <v>120</v>
      </c>
      <c r="E1" s="5" t="s">
        <v>34</v>
      </c>
      <c r="F1" s="5" t="s">
        <v>30</v>
      </c>
      <c r="G1" s="5" t="s">
        <v>117</v>
      </c>
      <c r="H1" s="5" t="s">
        <v>118</v>
      </c>
      <c r="I1" s="5" t="s">
        <v>122</v>
      </c>
      <c r="J1" s="5" t="s">
        <v>123</v>
      </c>
      <c r="K1" s="5"/>
      <c r="L1" s="14" t="s">
        <v>0</v>
      </c>
      <c r="M1" s="14" t="s">
        <v>1</v>
      </c>
      <c r="N1" s="14" t="s">
        <v>2</v>
      </c>
      <c r="O1" s="14" t="s">
        <v>3</v>
      </c>
      <c r="P1" s="14" t="s">
        <v>4</v>
      </c>
      <c r="Q1" s="14" t="s">
        <v>5</v>
      </c>
      <c r="R1" s="14" t="s">
        <v>6</v>
      </c>
      <c r="S1" s="14" t="s">
        <v>7</v>
      </c>
      <c r="T1" s="14" t="s">
        <v>8</v>
      </c>
      <c r="U1" s="14" t="s">
        <v>9</v>
      </c>
      <c r="V1" s="14" t="s">
        <v>10</v>
      </c>
      <c r="W1" s="14" t="s">
        <v>11</v>
      </c>
      <c r="X1" s="14" t="s">
        <v>12</v>
      </c>
      <c r="Y1" s="14" t="s">
        <v>13</v>
      </c>
      <c r="Z1" s="14" t="s">
        <v>14</v>
      </c>
      <c r="AA1" s="14" t="s">
        <v>15</v>
      </c>
      <c r="AB1" s="14" t="s">
        <v>16</v>
      </c>
      <c r="AC1" s="14" t="s">
        <v>17</v>
      </c>
      <c r="AD1" s="14" t="s">
        <v>18</v>
      </c>
      <c r="AE1" s="14" t="s">
        <v>19</v>
      </c>
      <c r="AF1" s="14" t="s">
        <v>20</v>
      </c>
      <c r="AG1" s="14" t="s">
        <v>21</v>
      </c>
      <c r="AH1" s="14" t="s">
        <v>22</v>
      </c>
      <c r="AI1" s="14" t="s">
        <v>23</v>
      </c>
      <c r="AJ1" s="14" t="s">
        <v>24</v>
      </c>
      <c r="AK1" s="14" t="s">
        <v>25</v>
      </c>
      <c r="AL1" s="14" t="s">
        <v>28</v>
      </c>
      <c r="AM1" s="14" t="s">
        <v>28</v>
      </c>
    </row>
    <row r="2" spans="1:39" x14ac:dyDescent="0.3">
      <c r="A2" s="5" t="s">
        <v>55</v>
      </c>
      <c r="B2" s="5">
        <v>600</v>
      </c>
      <c r="C2" s="5">
        <v>0</v>
      </c>
      <c r="D2" s="5">
        <v>300</v>
      </c>
      <c r="E2" s="5">
        <v>1000</v>
      </c>
      <c r="F2" s="6">
        <v>29.9012868488376</v>
      </c>
      <c r="G2" s="10">
        <v>3.1279763706112602</v>
      </c>
      <c r="H2" s="10">
        <v>7.0469901011089302</v>
      </c>
      <c r="I2" s="5">
        <v>100</v>
      </c>
      <c r="J2" s="6">
        <v>11.303305328571399</v>
      </c>
      <c r="K2" s="5">
        <f>AK2/1000000</f>
        <v>11.303305328571399</v>
      </c>
      <c r="L2" s="14">
        <v>2445599.4190615602</v>
      </c>
      <c r="M2" s="14">
        <v>540000</v>
      </c>
      <c r="N2" s="14">
        <v>0</v>
      </c>
      <c r="O2" s="14">
        <v>565599.41906156705</v>
      </c>
      <c r="P2" s="14">
        <v>1100000</v>
      </c>
      <c r="Q2" s="14">
        <v>240000</v>
      </c>
      <c r="R2" s="14">
        <v>485953.74325286801</v>
      </c>
      <c r="S2" s="14">
        <v>11311.9883812313</v>
      </c>
      <c r="T2" s="14">
        <v>8100</v>
      </c>
      <c r="U2" s="14">
        <v>1200</v>
      </c>
      <c r="V2" s="14">
        <v>0</v>
      </c>
      <c r="W2" s="14">
        <v>11000</v>
      </c>
      <c r="X2" s="14">
        <v>0</v>
      </c>
      <c r="Y2" s="14">
        <v>196139.10824208101</v>
      </c>
      <c r="Z2" s="14">
        <v>0</v>
      </c>
      <c r="AA2" s="14">
        <v>284.100054747743</v>
      </c>
      <c r="AB2" s="14">
        <v>0</v>
      </c>
      <c r="AC2" s="14">
        <v>104610.092081467</v>
      </c>
      <c r="AD2" s="15">
        <v>2.2249678290263199E-10</v>
      </c>
      <c r="AE2" s="14">
        <v>7.0469901011089302</v>
      </c>
      <c r="AF2" s="14">
        <v>5555846.9957142798</v>
      </c>
      <c r="AG2" s="14">
        <v>5555846.9957142798</v>
      </c>
      <c r="AH2" s="14">
        <v>0</v>
      </c>
      <c r="AI2" s="14">
        <v>102904.922870045</v>
      </c>
      <c r="AJ2" s="14">
        <v>16859152.324285701</v>
      </c>
      <c r="AK2" s="14">
        <v>11303305.3285714</v>
      </c>
      <c r="AL2" s="14" t="e" cm="1">
        <f t="array" ref="AL2">IF(SUMPRODUCT((C2&gt;=C$2:C$37)*(D2&gt;=D$2:D$37)*(E2&gt;=E$2:E$37)*(#REF!&gt;=#REF!)*(F2&gt;=F$2:F$37)*(ROW(C$2:C$37)&lt;&gt;ROW()))&gt;0,1,0)</f>
        <v>#REF!</v>
      </c>
      <c r="AM2" s="14">
        <v>0</v>
      </c>
    </row>
    <row r="3" spans="1:39" x14ac:dyDescent="0.3">
      <c r="A3" s="5" t="s">
        <v>56</v>
      </c>
      <c r="B3" s="5">
        <v>520</v>
      </c>
      <c r="C3" s="5">
        <v>0</v>
      </c>
      <c r="D3" s="5">
        <v>260</v>
      </c>
      <c r="E3" s="5">
        <v>1200</v>
      </c>
      <c r="F3" s="6">
        <v>30.5634287748769</v>
      </c>
      <c r="G3" s="10">
        <v>3.1978341410604196</v>
      </c>
      <c r="H3" s="10">
        <v>8.1326455479452004</v>
      </c>
      <c r="I3" s="5">
        <v>100</v>
      </c>
      <c r="J3" s="6">
        <v>9.0543912977142806</v>
      </c>
      <c r="K3" s="5">
        <f t="shared" ref="K3:K37" si="0">AK3/1000000</f>
        <v>9.0543912977142806</v>
      </c>
      <c r="L3" s="14">
        <v>2535953.6089434801</v>
      </c>
      <c r="M3" s="14">
        <v>468000</v>
      </c>
      <c r="N3" s="14">
        <v>0</v>
      </c>
      <c r="O3" s="14">
        <v>507953.60894348501</v>
      </c>
      <c r="P3" s="14">
        <v>1320000</v>
      </c>
      <c r="Q3" s="14">
        <v>240000</v>
      </c>
      <c r="R3" s="14">
        <v>485447.740544072</v>
      </c>
      <c r="S3" s="14">
        <v>10159.072178869699</v>
      </c>
      <c r="T3" s="14">
        <v>7020</v>
      </c>
      <c r="U3" s="14">
        <v>1200</v>
      </c>
      <c r="V3" s="14">
        <v>0</v>
      </c>
      <c r="W3" s="14">
        <v>13200</v>
      </c>
      <c r="X3" s="14">
        <v>0</v>
      </c>
      <c r="Y3" s="14">
        <v>176148.638999357</v>
      </c>
      <c r="Z3" s="14">
        <v>0</v>
      </c>
      <c r="AA3" s="14">
        <v>284.15257350483398</v>
      </c>
      <c r="AB3" s="14">
        <v>0</v>
      </c>
      <c r="AC3" s="14">
        <v>104629.43031081</v>
      </c>
      <c r="AD3" s="15">
        <v>3.0938965675123298E-10</v>
      </c>
      <c r="AE3" s="14">
        <v>8.1326455479452004</v>
      </c>
      <c r="AF3" s="14">
        <v>5556874.0499999998</v>
      </c>
      <c r="AG3" s="14">
        <v>5556874.0499999998</v>
      </c>
      <c r="AH3" s="14">
        <v>0</v>
      </c>
      <c r="AI3" s="14">
        <v>102904.922870045</v>
      </c>
      <c r="AJ3" s="14">
        <v>14611265.347714201</v>
      </c>
      <c r="AK3" s="14">
        <v>9054391.29771428</v>
      </c>
      <c r="AL3" s="14" t="e" cm="1">
        <f t="array" ref="AL3">IF(SUMPRODUCT((C3&gt;=C$2:C$37)*(D3&gt;=D$2:D$37)*(E3&gt;=E$2:E$37)*(#REF!&gt;=#REF!)*(F3&gt;=F$2:F$37)*(ROW(C$2:C$37)&lt;&gt;ROW()))&gt;0,1,0)</f>
        <v>#REF!</v>
      </c>
      <c r="AM3" s="14">
        <v>0</v>
      </c>
    </row>
    <row r="4" spans="1:39" x14ac:dyDescent="0.3">
      <c r="A4" s="5" t="s">
        <v>57</v>
      </c>
      <c r="B4" s="5">
        <v>720</v>
      </c>
      <c r="C4" s="5">
        <v>0</v>
      </c>
      <c r="D4" s="5">
        <v>180</v>
      </c>
      <c r="E4" s="5">
        <v>1200</v>
      </c>
      <c r="F4" s="6">
        <v>30.785521126391401</v>
      </c>
      <c r="G4" s="10">
        <v>3.2184213696049402</v>
      </c>
      <c r="H4" s="10">
        <v>11.737489595564201</v>
      </c>
      <c r="I4" s="5">
        <v>100</v>
      </c>
      <c r="J4" s="6">
        <v>14.678680710857101</v>
      </c>
      <c r="K4" s="5">
        <f t="shared" si="0"/>
        <v>14.678680710857101</v>
      </c>
      <c r="L4" s="14">
        <v>2594496.4004074601</v>
      </c>
      <c r="M4" s="14">
        <v>648000</v>
      </c>
      <c r="N4" s="14">
        <v>0</v>
      </c>
      <c r="O4" s="14">
        <v>386496.40040746599</v>
      </c>
      <c r="P4" s="14">
        <v>1320000</v>
      </c>
      <c r="Q4" s="14">
        <v>240000</v>
      </c>
      <c r="R4" s="14">
        <v>489611.45851501898</v>
      </c>
      <c r="S4" s="14">
        <v>7729.9280081493298</v>
      </c>
      <c r="T4" s="14">
        <v>9720</v>
      </c>
      <c r="U4" s="14">
        <v>1200</v>
      </c>
      <c r="V4" s="14">
        <v>0</v>
      </c>
      <c r="W4" s="14">
        <v>13200</v>
      </c>
      <c r="X4" s="14">
        <v>0</v>
      </c>
      <c r="Y4" s="14">
        <v>134029.59189822499</v>
      </c>
      <c r="Z4" s="14">
        <v>0</v>
      </c>
      <c r="AA4" s="14">
        <v>283.91878423465801</v>
      </c>
      <c r="AB4" s="14">
        <v>0</v>
      </c>
      <c r="AC4" s="14">
        <v>104543.345437992</v>
      </c>
      <c r="AD4" s="15">
        <v>3.41033392002389E-10</v>
      </c>
      <c r="AE4" s="14">
        <v>11.737489595564201</v>
      </c>
      <c r="AF4" s="14">
        <v>5552302.07828571</v>
      </c>
      <c r="AG4" s="14">
        <v>5552302.07828571</v>
      </c>
      <c r="AH4" s="14">
        <v>0</v>
      </c>
      <c r="AI4" s="14">
        <v>102904.922870045</v>
      </c>
      <c r="AJ4" s="14">
        <v>20230982.789142799</v>
      </c>
      <c r="AK4" s="14">
        <v>14678680.710857101</v>
      </c>
      <c r="AL4" s="14" t="e" cm="1">
        <f t="array" ref="AL4">IF(SUMPRODUCT((C4&gt;=C$2:C$37)*(D4&gt;=D$2:D$37)*(E4&gt;=E$2:E$37)*(#REF!&gt;=#REF!)*(F4&gt;=F$2:F$37)*(ROW(C$2:C$37)&lt;&gt;ROW()))&gt;0,1,0)</f>
        <v>#REF!</v>
      </c>
      <c r="AM4" s="14">
        <v>0</v>
      </c>
    </row>
    <row r="5" spans="1:39" x14ac:dyDescent="0.3">
      <c r="A5" s="5" t="s">
        <v>58</v>
      </c>
      <c r="B5" s="5">
        <v>880</v>
      </c>
      <c r="C5" s="5">
        <v>0</v>
      </c>
      <c r="D5" s="5">
        <v>220</v>
      </c>
      <c r="E5" s="5">
        <v>1000</v>
      </c>
      <c r="F5" s="6">
        <v>31.014861442828501</v>
      </c>
      <c r="G5" s="10">
        <v>3.2442388042067898</v>
      </c>
      <c r="H5" s="10">
        <v>9.6088545662100397</v>
      </c>
      <c r="I5" s="5">
        <v>100</v>
      </c>
      <c r="J5" s="6">
        <v>19.171301386285698</v>
      </c>
      <c r="K5" s="5">
        <f t="shared" si="0"/>
        <v>19.171301386285698</v>
      </c>
      <c r="L5" s="14">
        <v>2580417.7612483399</v>
      </c>
      <c r="M5" s="14">
        <v>792000</v>
      </c>
      <c r="N5" s="14">
        <v>0</v>
      </c>
      <c r="O5" s="14">
        <v>448417.76124834799</v>
      </c>
      <c r="P5" s="14">
        <v>1100000</v>
      </c>
      <c r="Q5" s="14">
        <v>240000</v>
      </c>
      <c r="R5" s="14">
        <v>508034.22221483098</v>
      </c>
      <c r="S5" s="14">
        <v>8968.3552249669592</v>
      </c>
      <c r="T5" s="14">
        <v>11880</v>
      </c>
      <c r="U5" s="14">
        <v>1200</v>
      </c>
      <c r="V5" s="14">
        <v>0</v>
      </c>
      <c r="W5" s="14">
        <v>11000</v>
      </c>
      <c r="X5" s="14">
        <v>0</v>
      </c>
      <c r="Y5" s="14">
        <v>155502.74071548801</v>
      </c>
      <c r="Z5" s="14">
        <v>0</v>
      </c>
      <c r="AA5" s="14">
        <v>284.080028122756</v>
      </c>
      <c r="AB5" s="14">
        <v>0</v>
      </c>
      <c r="AC5" s="14">
        <v>104602.71796432399</v>
      </c>
      <c r="AD5" s="15">
        <v>1.4109427911738E-10</v>
      </c>
      <c r="AE5" s="14">
        <v>9.6088545662100397</v>
      </c>
      <c r="AF5" s="14">
        <v>5555455.3559999997</v>
      </c>
      <c r="AG5" s="14">
        <v>5555455.3559999997</v>
      </c>
      <c r="AH5" s="14">
        <v>0</v>
      </c>
      <c r="AI5" s="14">
        <v>102904.922870045</v>
      </c>
      <c r="AJ5" s="14">
        <v>24726756.742285699</v>
      </c>
      <c r="AK5" s="14">
        <v>19171301.3862857</v>
      </c>
      <c r="AL5" s="14" t="e" cm="1">
        <f t="array" ref="AL5">IF(SUMPRODUCT((C5&gt;=C$2:C$37)*(D5&gt;=D$2:D$37)*(E5&gt;=E$2:E$37)*(#REF!&gt;=#REF!)*(F5&gt;=F$2:F$37)*(ROW(C$2:C$37)&lt;&gt;ROW()))&gt;0,1,0)</f>
        <v>#REF!</v>
      </c>
      <c r="AM5" s="14">
        <v>0</v>
      </c>
    </row>
    <row r="6" spans="1:39" x14ac:dyDescent="0.3">
      <c r="A6" s="5" t="s">
        <v>59</v>
      </c>
      <c r="B6" s="5">
        <v>720</v>
      </c>
      <c r="C6" s="5">
        <v>360</v>
      </c>
      <c r="D6" s="5">
        <v>180</v>
      </c>
      <c r="E6" s="5">
        <v>1000</v>
      </c>
      <c r="F6" s="6">
        <v>31.939946446027299</v>
      </c>
      <c r="G6" s="10">
        <v>3.3411474686005502</v>
      </c>
      <c r="H6" s="10">
        <v>11.744655642530899</v>
      </c>
      <c r="I6" s="5">
        <v>100</v>
      </c>
      <c r="J6" s="6">
        <v>14.6745194554285</v>
      </c>
      <c r="K6" s="5">
        <f t="shared" si="0"/>
        <v>14.6745194554285</v>
      </c>
      <c r="L6" s="14">
        <v>2662496.4004074601</v>
      </c>
      <c r="M6" s="14">
        <v>648000</v>
      </c>
      <c r="N6" s="14">
        <v>288000</v>
      </c>
      <c r="O6" s="14">
        <v>386496.40040746599</v>
      </c>
      <c r="P6" s="14">
        <v>1100000</v>
      </c>
      <c r="Q6" s="14">
        <v>240000</v>
      </c>
      <c r="R6" s="14">
        <v>544337.38417072198</v>
      </c>
      <c r="S6" s="14">
        <v>7729.9280081493298</v>
      </c>
      <c r="T6" s="14">
        <v>9720</v>
      </c>
      <c r="U6" s="14">
        <v>1200</v>
      </c>
      <c r="V6" s="14">
        <v>5760</v>
      </c>
      <c r="W6" s="14">
        <v>11000</v>
      </c>
      <c r="X6" s="14">
        <v>0</v>
      </c>
      <c r="Y6" s="14">
        <v>134029.59189822499</v>
      </c>
      <c r="Z6" s="14">
        <v>0</v>
      </c>
      <c r="AA6" s="14">
        <v>284.09212414060602</v>
      </c>
      <c r="AB6" s="14">
        <v>0</v>
      </c>
      <c r="AC6" s="14">
        <v>104607.17190764401</v>
      </c>
      <c r="AD6" s="15">
        <v>3.1287639146171299E-10</v>
      </c>
      <c r="AE6" s="14">
        <v>11.744655642530899</v>
      </c>
      <c r="AF6" s="14">
        <v>5555691.9051428502</v>
      </c>
      <c r="AG6" s="14">
        <v>4609616.5954285702</v>
      </c>
      <c r="AH6" s="14">
        <v>0</v>
      </c>
      <c r="AI6" s="14">
        <v>102904.922870045</v>
      </c>
      <c r="AJ6" s="14">
        <v>20230982.789142799</v>
      </c>
      <c r="AK6" s="14">
        <v>14674519.4554285</v>
      </c>
      <c r="AL6" s="14" t="e" cm="1">
        <f t="array" ref="AL6">IF(SUMPRODUCT((C6&gt;=C$2:C$37)*(D6&gt;=D$2:D$37)*(E6&gt;=E$2:E$37)*(#REF!&gt;=#REF!)*(F6&gt;=F$2:F$37)*(ROW(C$2:C$37)&lt;&gt;ROW()))&gt;0,1,0)</f>
        <v>#REF!</v>
      </c>
      <c r="AM6" s="14">
        <v>0</v>
      </c>
    </row>
    <row r="7" spans="1:39" x14ac:dyDescent="0.3">
      <c r="A7" s="5" t="s">
        <v>60</v>
      </c>
      <c r="B7" s="5">
        <v>840</v>
      </c>
      <c r="C7" s="5">
        <v>140</v>
      </c>
      <c r="D7" s="5">
        <v>140</v>
      </c>
      <c r="E7" s="5">
        <v>1200</v>
      </c>
      <c r="F7" s="6">
        <v>32.416136499099203</v>
      </c>
      <c r="G7" s="10">
        <v>3.39009980319342</v>
      </c>
      <c r="H7" s="10">
        <v>15.0964393835616</v>
      </c>
      <c r="I7" s="5">
        <v>100</v>
      </c>
      <c r="J7" s="6">
        <v>18.048531276000002</v>
      </c>
      <c r="K7" s="5">
        <f t="shared" si="0"/>
        <v>18.048531276000002</v>
      </c>
      <c r="L7" s="14">
        <v>2749415.1662190398</v>
      </c>
      <c r="M7" s="14">
        <v>756000</v>
      </c>
      <c r="N7" s="14">
        <v>112000</v>
      </c>
      <c r="O7" s="14">
        <v>321415.16621904698</v>
      </c>
      <c r="P7" s="14">
        <v>1320000</v>
      </c>
      <c r="Q7" s="14">
        <v>240000</v>
      </c>
      <c r="R7" s="14">
        <v>528939.95777217497</v>
      </c>
      <c r="S7" s="14">
        <v>6428.3033243809496</v>
      </c>
      <c r="T7" s="14">
        <v>11340</v>
      </c>
      <c r="U7" s="14">
        <v>1200</v>
      </c>
      <c r="V7" s="14">
        <v>2240</v>
      </c>
      <c r="W7" s="14">
        <v>13200</v>
      </c>
      <c r="X7" s="14">
        <v>0</v>
      </c>
      <c r="Y7" s="14">
        <v>111460.65917514999</v>
      </c>
      <c r="Z7" s="14">
        <v>0</v>
      </c>
      <c r="AA7" s="14">
        <v>284.02002705463798</v>
      </c>
      <c r="AB7" s="14">
        <v>0</v>
      </c>
      <c r="AC7" s="14">
        <v>104580.62463080999</v>
      </c>
      <c r="AD7" s="15">
        <v>3.1534536886518999E-10</v>
      </c>
      <c r="AE7" s="14">
        <v>15.0964393835616</v>
      </c>
      <c r="AF7" s="14">
        <v>5554281.9780000001</v>
      </c>
      <c r="AG7" s="14">
        <v>4941500.7359999996</v>
      </c>
      <c r="AH7" s="14">
        <v>0</v>
      </c>
      <c r="AI7" s="14">
        <v>102904.922870045</v>
      </c>
      <c r="AJ7" s="14">
        <v>23602813.254000001</v>
      </c>
      <c r="AK7" s="14">
        <v>18048531.276000001</v>
      </c>
      <c r="AL7" s="14" t="e" cm="1">
        <f t="array" ref="AL7">IF(SUMPRODUCT((C7&gt;=C$2:C$37)*(D7&gt;=D$2:D$37)*(E7&gt;=E$2:E$37)*(#REF!&gt;=#REF!)*(F7&gt;=F$2:F$37)*(ROW(C$2:C$37)&lt;&gt;ROW()))&gt;0,1,0)</f>
        <v>#REF!</v>
      </c>
      <c r="AM7" s="14">
        <v>0</v>
      </c>
    </row>
    <row r="8" spans="1:39" x14ac:dyDescent="0.3">
      <c r="A8" s="5" t="s">
        <v>61</v>
      </c>
      <c r="B8" s="5">
        <v>840</v>
      </c>
      <c r="C8" s="5">
        <v>0</v>
      </c>
      <c r="D8" s="5">
        <v>420</v>
      </c>
      <c r="E8" s="5">
        <v>800</v>
      </c>
      <c r="F8" s="6">
        <v>32.754009778411003</v>
      </c>
      <c r="G8" s="10">
        <v>3.41219652610719</v>
      </c>
      <c r="H8" s="10">
        <v>5.0126987279843398</v>
      </c>
      <c r="I8" s="5">
        <v>100</v>
      </c>
      <c r="J8" s="6">
        <v>18.069996906</v>
      </c>
      <c r="K8" s="5">
        <f t="shared" si="0"/>
        <v>18.069996906</v>
      </c>
      <c r="L8" s="14">
        <v>2606167.8210864901</v>
      </c>
      <c r="M8" s="14">
        <v>756000</v>
      </c>
      <c r="N8" s="14">
        <v>0</v>
      </c>
      <c r="O8" s="14">
        <v>730167.82108649402</v>
      </c>
      <c r="P8" s="14">
        <v>880000</v>
      </c>
      <c r="Q8" s="14">
        <v>240000</v>
      </c>
      <c r="R8" s="14">
        <v>552537.48633483704</v>
      </c>
      <c r="S8" s="14">
        <v>14603.356421729801</v>
      </c>
      <c r="T8" s="14">
        <v>11340</v>
      </c>
      <c r="U8" s="14">
        <v>1200</v>
      </c>
      <c r="V8" s="14">
        <v>0</v>
      </c>
      <c r="W8" s="14">
        <v>8800</v>
      </c>
      <c r="X8" s="14">
        <v>0</v>
      </c>
      <c r="Y8" s="14">
        <v>253208.29631081899</v>
      </c>
      <c r="Z8" s="14">
        <v>0</v>
      </c>
      <c r="AA8" s="14">
        <v>282.92237503814101</v>
      </c>
      <c r="AB8" s="14">
        <v>0</v>
      </c>
      <c r="AC8" s="14">
        <v>104176.45195783699</v>
      </c>
      <c r="AD8" s="15">
        <v>1.8961213551652399E-10</v>
      </c>
      <c r="AE8" s="14">
        <v>5.0126987279843398</v>
      </c>
      <c r="AF8" s="14">
        <v>5532816.3480000002</v>
      </c>
      <c r="AG8" s="14">
        <v>5532816.3480000002</v>
      </c>
      <c r="AH8" s="14">
        <v>0</v>
      </c>
      <c r="AI8" s="14">
        <v>102904.922870045</v>
      </c>
      <c r="AJ8" s="14">
        <v>23602813.254000001</v>
      </c>
      <c r="AK8" s="14">
        <v>18069996.905999999</v>
      </c>
      <c r="AL8" s="14" t="e" cm="1">
        <f t="array" ref="AL8">IF(SUMPRODUCT((C8&gt;=C$2:C$37)*(D8&gt;=D$2:D$37)*(E8&gt;=E$2:E$37)*(#REF!&gt;=#REF!)*(F8&gt;=F$2:F$37)*(ROW(C$2:C$37)&lt;&gt;ROW()))&gt;0,1,0)</f>
        <v>#REF!</v>
      </c>
      <c r="AM8" s="14">
        <v>0</v>
      </c>
    </row>
    <row r="9" spans="1:39" x14ac:dyDescent="0.3">
      <c r="A9" s="5" t="s">
        <v>62</v>
      </c>
      <c r="B9" s="5">
        <v>800</v>
      </c>
      <c r="C9" s="5">
        <v>400</v>
      </c>
      <c r="D9" s="5">
        <v>100</v>
      </c>
      <c r="E9" s="5">
        <v>1200</v>
      </c>
      <c r="F9" s="6">
        <v>33.498796849042002</v>
      </c>
      <c r="G9" s="10">
        <v>3.5026296986256296</v>
      </c>
      <c r="H9" s="10">
        <v>21.130819895629401</v>
      </c>
      <c r="I9" s="5">
        <v>100</v>
      </c>
      <c r="J9" s="6">
        <v>16.9256902971428</v>
      </c>
      <c r="K9" s="5">
        <f t="shared" si="0"/>
        <v>16.9256902971428</v>
      </c>
      <c r="L9" s="14">
        <v>2851824.89012729</v>
      </c>
      <c r="M9" s="14">
        <v>720000</v>
      </c>
      <c r="N9" s="14">
        <v>320000</v>
      </c>
      <c r="O9" s="14">
        <v>251824.890127297</v>
      </c>
      <c r="P9" s="14">
        <v>1320000</v>
      </c>
      <c r="Q9" s="14">
        <v>240000</v>
      </c>
      <c r="R9" s="14">
        <v>563192.76826613804</v>
      </c>
      <c r="S9" s="14">
        <v>5036.4978025459504</v>
      </c>
      <c r="T9" s="14">
        <v>10800</v>
      </c>
      <c r="U9" s="14">
        <v>1200</v>
      </c>
      <c r="V9" s="14">
        <v>6400</v>
      </c>
      <c r="W9" s="14">
        <v>13200</v>
      </c>
      <c r="X9" s="14">
        <v>0</v>
      </c>
      <c r="Y9" s="14">
        <v>87328.076582327296</v>
      </c>
      <c r="Z9" s="14">
        <v>0</v>
      </c>
      <c r="AA9" s="14">
        <v>283.96364987411903</v>
      </c>
      <c r="AB9" s="14">
        <v>0</v>
      </c>
      <c r="AC9" s="14">
        <v>104559.865669498</v>
      </c>
      <c r="AD9" s="15">
        <v>4.9506494142243697E-10</v>
      </c>
      <c r="AE9" s="14">
        <v>21.130819895629401</v>
      </c>
      <c r="AF9" s="14">
        <v>5553179.4685714198</v>
      </c>
      <c r="AG9" s="14">
        <v>3952780.4228571402</v>
      </c>
      <c r="AH9" s="14">
        <v>0</v>
      </c>
      <c r="AI9" s="14">
        <v>102904.922870045</v>
      </c>
      <c r="AJ9" s="14">
        <v>22478869.765714198</v>
      </c>
      <c r="AK9" s="14">
        <v>16925690.2971428</v>
      </c>
      <c r="AL9" s="14" t="e" cm="1">
        <f t="array" ref="AL9">IF(SUMPRODUCT((C9&gt;=C$2:C$37)*(D9&gt;=D$2:D$37)*(E9&gt;=E$2:E$37)*(#REF!&gt;=#REF!)*(F9&gt;=F$2:F$37)*(ROW(C$2:C$37)&lt;&gt;ROW()))&gt;0,1,0)</f>
        <v>#REF!</v>
      </c>
      <c r="AM9" s="14">
        <v>0</v>
      </c>
    </row>
    <row r="10" spans="1:39" x14ac:dyDescent="0.3">
      <c r="A10" s="5" t="s">
        <v>63</v>
      </c>
      <c r="B10" s="5">
        <v>560</v>
      </c>
      <c r="C10" s="5">
        <v>560</v>
      </c>
      <c r="D10" s="5">
        <v>140</v>
      </c>
      <c r="E10" s="5">
        <v>1200</v>
      </c>
      <c r="F10" s="6">
        <v>33.610459577807902</v>
      </c>
      <c r="G10" s="10">
        <v>3.5192951560397598</v>
      </c>
      <c r="H10" s="10">
        <v>15.114874200913199</v>
      </c>
      <c r="I10" s="5">
        <v>100</v>
      </c>
      <c r="J10" s="6">
        <v>10.1741443199999</v>
      </c>
      <c r="K10" s="5">
        <f t="shared" si="0"/>
        <v>10.1741443199999</v>
      </c>
      <c r="L10" s="14">
        <v>2833415.1662190398</v>
      </c>
      <c r="M10" s="14">
        <v>504000</v>
      </c>
      <c r="N10" s="14">
        <v>448000</v>
      </c>
      <c r="O10" s="14">
        <v>321415.16621904698</v>
      </c>
      <c r="P10" s="14">
        <v>1320000</v>
      </c>
      <c r="Q10" s="14">
        <v>240000</v>
      </c>
      <c r="R10" s="14">
        <v>574134.96379121102</v>
      </c>
      <c r="S10" s="14">
        <v>6428.3033243809496</v>
      </c>
      <c r="T10" s="14">
        <v>7560</v>
      </c>
      <c r="U10" s="14">
        <v>1200</v>
      </c>
      <c r="V10" s="14">
        <v>8960</v>
      </c>
      <c r="W10" s="14">
        <v>13200</v>
      </c>
      <c r="X10" s="14">
        <v>0</v>
      </c>
      <c r="Y10" s="14">
        <v>111460.65917514999</v>
      </c>
      <c r="Z10" s="14">
        <v>0</v>
      </c>
      <c r="AA10" s="14">
        <v>284.36685435542898</v>
      </c>
      <c r="AB10" s="14">
        <v>0</v>
      </c>
      <c r="AC10" s="14">
        <v>104708.331877837</v>
      </c>
      <c r="AD10" s="15">
        <v>3.3459520868258798E-10</v>
      </c>
      <c r="AE10" s="14">
        <v>15.114874200913199</v>
      </c>
      <c r="AF10" s="14">
        <v>5561064.5159999998</v>
      </c>
      <c r="AG10" s="14">
        <v>4133989.4879999999</v>
      </c>
      <c r="AH10" s="14">
        <v>0</v>
      </c>
      <c r="AI10" s="14">
        <v>102904.922870045</v>
      </c>
      <c r="AJ10" s="14">
        <v>15735208.835999999</v>
      </c>
      <c r="AK10" s="14">
        <v>10174144.3199999</v>
      </c>
      <c r="AL10" s="14" t="e" cm="1">
        <f t="array" ref="AL10">IF(SUMPRODUCT((C10&gt;=C$2:C$37)*(D10&gt;=D$2:D$37)*(E10&gt;=E$2:E$37)*(#REF!&gt;=#REF!)*(F10&gt;=F$2:F$37)*(ROW(C$2:C$37)&lt;&gt;ROW()))&gt;0,1,0)</f>
        <v>#REF!</v>
      </c>
      <c r="AM10" s="14">
        <v>0</v>
      </c>
    </row>
    <row r="11" spans="1:39" x14ac:dyDescent="0.3">
      <c r="A11" s="5" t="s">
        <v>64</v>
      </c>
      <c r="B11" s="5">
        <v>1040</v>
      </c>
      <c r="C11" s="5">
        <v>260</v>
      </c>
      <c r="D11" s="5">
        <v>260</v>
      </c>
      <c r="E11" s="5">
        <v>800</v>
      </c>
      <c r="F11" s="6">
        <v>33.961212691650502</v>
      </c>
      <c r="G11" s="10">
        <v>3.5380581367805499</v>
      </c>
      <c r="H11" s="10">
        <v>8.0976641226353507</v>
      </c>
      <c r="I11" s="5">
        <v>100</v>
      </c>
      <c r="J11" s="6">
        <v>23.689001610857098</v>
      </c>
      <c r="K11" s="5">
        <f t="shared" si="0"/>
        <v>23.689001610857098</v>
      </c>
      <c r="L11" s="14">
        <v>2771953.6089434801</v>
      </c>
      <c r="M11" s="14">
        <v>936000</v>
      </c>
      <c r="N11" s="14">
        <v>208000</v>
      </c>
      <c r="O11" s="14">
        <v>507953.60894348501</v>
      </c>
      <c r="P11" s="14">
        <v>880000</v>
      </c>
      <c r="Q11" s="14">
        <v>240000</v>
      </c>
      <c r="R11" s="14">
        <v>589672.95850633795</v>
      </c>
      <c r="S11" s="14">
        <v>10159.072178869699</v>
      </c>
      <c r="T11" s="14">
        <v>14040</v>
      </c>
      <c r="U11" s="14">
        <v>1200</v>
      </c>
      <c r="V11" s="14">
        <v>4160</v>
      </c>
      <c r="W11" s="14">
        <v>8800</v>
      </c>
      <c r="X11" s="14">
        <v>0</v>
      </c>
      <c r="Y11" s="14">
        <v>176148.638999357</v>
      </c>
      <c r="Z11" s="14">
        <v>0</v>
      </c>
      <c r="AA11" s="14">
        <v>282.930331373652</v>
      </c>
      <c r="AB11" s="14">
        <v>0</v>
      </c>
      <c r="AC11" s="14">
        <v>104179.38160525</v>
      </c>
      <c r="AD11" s="15">
        <v>3.8163424801293098E-10</v>
      </c>
      <c r="AE11" s="14">
        <v>8.0976641226353507</v>
      </c>
      <c r="AF11" s="14">
        <v>5532971.9417142803</v>
      </c>
      <c r="AG11" s="14">
        <v>4950958.3165714201</v>
      </c>
      <c r="AH11" s="14">
        <v>0</v>
      </c>
      <c r="AI11" s="14">
        <v>102904.922870045</v>
      </c>
      <c r="AJ11" s="14">
        <v>29222530.695428502</v>
      </c>
      <c r="AK11" s="14">
        <v>23689001.610857099</v>
      </c>
      <c r="AL11" s="14" t="e" cm="1">
        <f t="array" ref="AL11">IF(SUMPRODUCT((C11&gt;=C$2:C$37)*(D11&gt;=D$2:D$37)*(E11&gt;=E$2:E$37)*(#REF!&gt;=#REF!)*(F11&gt;=F$2:F$37)*(ROW(C$2:C$37)&lt;&gt;ROW()))&gt;0,1,0)</f>
        <v>#REF!</v>
      </c>
      <c r="AM11" s="14">
        <v>0</v>
      </c>
    </row>
    <row r="12" spans="1:39" x14ac:dyDescent="0.3">
      <c r="A12" s="5" t="s">
        <v>65</v>
      </c>
      <c r="B12" s="5">
        <v>1200</v>
      </c>
      <c r="C12" s="5">
        <v>0</v>
      </c>
      <c r="D12" s="5">
        <v>300</v>
      </c>
      <c r="E12" s="5">
        <v>800</v>
      </c>
      <c r="F12" s="6">
        <v>33.967717729863303</v>
      </c>
      <c r="G12" s="10">
        <v>3.53867265689584</v>
      </c>
      <c r="H12" s="10">
        <v>7.0178502935420699</v>
      </c>
      <c r="I12" s="5">
        <v>100</v>
      </c>
      <c r="J12" s="6">
        <v>28.185431477142799</v>
      </c>
      <c r="K12" s="5">
        <f t="shared" si="0"/>
        <v>28.185431477142799</v>
      </c>
      <c r="L12" s="14">
        <v>2765599.4190615602</v>
      </c>
      <c r="M12" s="14">
        <v>1080000</v>
      </c>
      <c r="N12" s="14">
        <v>0</v>
      </c>
      <c r="O12" s="14">
        <v>565599.41906156705</v>
      </c>
      <c r="P12" s="14">
        <v>880000</v>
      </c>
      <c r="Q12" s="14">
        <v>240000</v>
      </c>
      <c r="R12" s="14">
        <v>576651.20431147597</v>
      </c>
      <c r="S12" s="14">
        <v>11311.9883812313</v>
      </c>
      <c r="T12" s="14">
        <v>16200</v>
      </c>
      <c r="U12" s="14">
        <v>1200</v>
      </c>
      <c r="V12" s="14">
        <v>0</v>
      </c>
      <c r="W12" s="14">
        <v>8800</v>
      </c>
      <c r="X12" s="14">
        <v>0</v>
      </c>
      <c r="Y12" s="14">
        <v>196139.10824208101</v>
      </c>
      <c r="Z12" s="14">
        <v>0</v>
      </c>
      <c r="AA12" s="14">
        <v>282.92528072276201</v>
      </c>
      <c r="AB12" s="14">
        <v>0</v>
      </c>
      <c r="AC12" s="14">
        <v>104177.521876447</v>
      </c>
      <c r="AD12" s="15">
        <v>2.0623978715304601E-10</v>
      </c>
      <c r="AE12" s="14">
        <v>7.0178502935420699</v>
      </c>
      <c r="AF12" s="14">
        <v>5532873.1714285696</v>
      </c>
      <c r="AG12" s="14">
        <v>5532873.1714285696</v>
      </c>
      <c r="AH12" s="14">
        <v>0</v>
      </c>
      <c r="AI12" s="14">
        <v>102904.922870045</v>
      </c>
      <c r="AJ12" s="14">
        <v>33718304.648571402</v>
      </c>
      <c r="AK12" s="14">
        <v>28185431.4771428</v>
      </c>
      <c r="AL12" s="14" t="e" cm="1">
        <f t="array" ref="AL12">IF(SUMPRODUCT((C12&gt;=C$2:C$37)*(D12&gt;=D$2:D$37)*(E12&gt;=E$2:E$37)*(#REF!&gt;=#REF!)*(F12&gt;=F$2:F$37)*(ROW(C$2:C$37)&lt;&gt;ROW()))&gt;0,1,0)</f>
        <v>#REF!</v>
      </c>
      <c r="AM12" s="14">
        <v>0</v>
      </c>
    </row>
    <row r="13" spans="1:39" x14ac:dyDescent="0.3">
      <c r="A13" s="5" t="s">
        <v>66</v>
      </c>
      <c r="B13" s="5">
        <v>1080</v>
      </c>
      <c r="C13" s="5">
        <v>180</v>
      </c>
      <c r="D13" s="5">
        <v>180</v>
      </c>
      <c r="E13" s="5">
        <v>1000</v>
      </c>
      <c r="F13" s="6">
        <v>33.9529505521243</v>
      </c>
      <c r="G13" s="10">
        <v>3.5515849106575801</v>
      </c>
      <c r="H13" s="10">
        <v>11.744201875407599</v>
      </c>
      <c r="I13" s="5">
        <v>100</v>
      </c>
      <c r="J13" s="6">
        <v>24.7906112142857</v>
      </c>
      <c r="K13" s="5">
        <f t="shared" si="0"/>
        <v>24.7906112142857</v>
      </c>
      <c r="L13" s="14">
        <v>2842496.4004074601</v>
      </c>
      <c r="M13" s="14">
        <v>972000</v>
      </c>
      <c r="N13" s="14">
        <v>144000</v>
      </c>
      <c r="O13" s="14">
        <v>386496.40040746599</v>
      </c>
      <c r="P13" s="14">
        <v>1100000</v>
      </c>
      <c r="Q13" s="14">
        <v>240000</v>
      </c>
      <c r="R13" s="14">
        <v>574774.83720395004</v>
      </c>
      <c r="S13" s="14">
        <v>7729.9280081493298</v>
      </c>
      <c r="T13" s="14">
        <v>14580</v>
      </c>
      <c r="U13" s="14">
        <v>1200</v>
      </c>
      <c r="V13" s="14">
        <v>2880</v>
      </c>
      <c r="W13" s="14">
        <v>11000</v>
      </c>
      <c r="X13" s="14">
        <v>0</v>
      </c>
      <c r="Y13" s="14">
        <v>134029.59189822499</v>
      </c>
      <c r="Z13" s="14">
        <v>0</v>
      </c>
      <c r="AA13" s="14">
        <v>284.08114794259399</v>
      </c>
      <c r="AB13" s="14">
        <v>0</v>
      </c>
      <c r="AC13" s="14">
        <v>104603.130299536</v>
      </c>
      <c r="AD13" s="15">
        <v>3.21626059118784E-10</v>
      </c>
      <c r="AE13" s="14">
        <v>11.744201875407599</v>
      </c>
      <c r="AF13" s="14">
        <v>5555477.2551428499</v>
      </c>
      <c r="AG13" s="14">
        <v>4966280.0382857099</v>
      </c>
      <c r="AH13" s="14">
        <v>0</v>
      </c>
      <c r="AI13" s="14">
        <v>102904.922870045</v>
      </c>
      <c r="AJ13" s="14">
        <v>30346474.1837142</v>
      </c>
      <c r="AK13" s="14">
        <v>24790611.214285702</v>
      </c>
      <c r="AL13" s="14" t="e" cm="1">
        <f t="array" ref="AL13">IF(SUMPRODUCT((C13&gt;=C$2:C$37)*(D13&gt;=D$2:D$37)*(E13&gt;=E$2:E$37)*(#REF!&gt;=#REF!)*(F13&gt;=F$2:F$37)*(ROW(C$2:C$37)&lt;&gt;ROW()))&gt;0,1,0)</f>
        <v>#REF!</v>
      </c>
      <c r="AM13" s="14">
        <v>0</v>
      </c>
    </row>
    <row r="14" spans="1:39" x14ac:dyDescent="0.3">
      <c r="A14" s="5" t="s">
        <v>67</v>
      </c>
      <c r="B14" s="5">
        <v>1120</v>
      </c>
      <c r="C14" s="5">
        <v>0</v>
      </c>
      <c r="D14" s="5">
        <v>140</v>
      </c>
      <c r="E14" s="5">
        <v>1200</v>
      </c>
      <c r="F14" s="6">
        <v>34.0403662292373</v>
      </c>
      <c r="G14" s="10">
        <v>3.5537728839354998</v>
      </c>
      <c r="H14" s="10">
        <v>15.070190476190399</v>
      </c>
      <c r="I14" s="5">
        <v>100</v>
      </c>
      <c r="J14" s="6">
        <v>25.925793192</v>
      </c>
      <c r="K14" s="5">
        <f t="shared" si="0"/>
        <v>25.925793192</v>
      </c>
      <c r="L14" s="14">
        <v>2889415.1662190398</v>
      </c>
      <c r="M14" s="14">
        <v>1008000</v>
      </c>
      <c r="N14" s="14">
        <v>0</v>
      </c>
      <c r="O14" s="14">
        <v>321415.16621904698</v>
      </c>
      <c r="P14" s="14">
        <v>1320000</v>
      </c>
      <c r="Q14" s="14">
        <v>240000</v>
      </c>
      <c r="R14" s="14">
        <v>552613.53235357499</v>
      </c>
      <c r="S14" s="14">
        <v>6428.3033243809496</v>
      </c>
      <c r="T14" s="14">
        <v>15120</v>
      </c>
      <c r="U14" s="14">
        <v>1200</v>
      </c>
      <c r="V14" s="14">
        <v>0</v>
      </c>
      <c r="W14" s="14">
        <v>13200</v>
      </c>
      <c r="X14" s="14">
        <v>0</v>
      </c>
      <c r="Y14" s="14">
        <v>111460.65917514999</v>
      </c>
      <c r="Z14" s="14">
        <v>0</v>
      </c>
      <c r="AA14" s="14">
        <v>283.526187733173</v>
      </c>
      <c r="AB14" s="14">
        <v>0</v>
      </c>
      <c r="AC14" s="14">
        <v>104398.785254054</v>
      </c>
      <c r="AD14" s="15">
        <v>3.03355911818974E-10</v>
      </c>
      <c r="AE14" s="14">
        <v>15.070190476190399</v>
      </c>
      <c r="AF14" s="14">
        <v>5544624.4799999902</v>
      </c>
      <c r="AG14" s="14">
        <v>5544624.4799999902</v>
      </c>
      <c r="AH14" s="14">
        <v>0</v>
      </c>
      <c r="AI14" s="14">
        <v>102904.922870045</v>
      </c>
      <c r="AJ14" s="14">
        <v>31470417.671999998</v>
      </c>
      <c r="AK14" s="14">
        <v>25925793.192000002</v>
      </c>
      <c r="AL14" s="14" t="e" cm="1">
        <f t="array" ref="AL14">IF(SUMPRODUCT((C14&gt;=C$2:C$37)*(D14&gt;=D$2:D$37)*(E14&gt;=E$2:E$37)*(#REF!&gt;=#REF!)*(F14&gt;=F$2:F$37)*(ROW(C$2:C$37)&lt;&gt;ROW()))&gt;0,1,0)</f>
        <v>#REF!</v>
      </c>
      <c r="AM14" s="14">
        <v>0</v>
      </c>
    </row>
    <row r="15" spans="1:39" x14ac:dyDescent="0.3">
      <c r="A15" s="5" t="s">
        <v>68</v>
      </c>
      <c r="B15" s="5">
        <v>840</v>
      </c>
      <c r="C15" s="5">
        <v>560</v>
      </c>
      <c r="D15" s="5">
        <v>140</v>
      </c>
      <c r="E15" s="5">
        <v>1000</v>
      </c>
      <c r="F15" s="6">
        <v>34.181188582787897</v>
      </c>
      <c r="G15" s="10">
        <v>3.57558335281036</v>
      </c>
      <c r="H15" s="10">
        <v>15.1002119210698</v>
      </c>
      <c r="I15" s="5">
        <v>100</v>
      </c>
      <c r="J15" s="6">
        <v>18.045943284000003</v>
      </c>
      <c r="K15" s="5">
        <f t="shared" si="0"/>
        <v>18.045943284000003</v>
      </c>
      <c r="L15" s="14">
        <v>2865415.1662190398</v>
      </c>
      <c r="M15" s="14">
        <v>756000</v>
      </c>
      <c r="N15" s="14">
        <v>448000</v>
      </c>
      <c r="O15" s="14">
        <v>321415.16621904698</v>
      </c>
      <c r="P15" s="14">
        <v>1100000</v>
      </c>
      <c r="Q15" s="14">
        <v>240000</v>
      </c>
      <c r="R15" s="14">
        <v>598423.43641368602</v>
      </c>
      <c r="S15" s="14">
        <v>6428.3033243809496</v>
      </c>
      <c r="T15" s="14">
        <v>11340</v>
      </c>
      <c r="U15" s="14">
        <v>1200</v>
      </c>
      <c r="V15" s="14">
        <v>8960</v>
      </c>
      <c r="W15" s="14">
        <v>11000</v>
      </c>
      <c r="X15" s="14">
        <v>0</v>
      </c>
      <c r="Y15" s="14">
        <v>111460.65917514999</v>
      </c>
      <c r="Z15" s="14">
        <v>0</v>
      </c>
      <c r="AA15" s="14">
        <v>284.09100247989602</v>
      </c>
      <c r="AB15" s="14">
        <v>0</v>
      </c>
      <c r="AC15" s="14">
        <v>104606.75889459399</v>
      </c>
      <c r="AD15" s="15">
        <v>8.6987084202405601E-11</v>
      </c>
      <c r="AE15" s="14">
        <v>15.1002119210698</v>
      </c>
      <c r="AF15" s="14">
        <v>5555669.9699999997</v>
      </c>
      <c r="AG15" s="14">
        <v>4010927.838</v>
      </c>
      <c r="AH15" s="14">
        <v>0</v>
      </c>
      <c r="AI15" s="14">
        <v>102904.922870045</v>
      </c>
      <c r="AJ15" s="14">
        <v>23602813.254000001</v>
      </c>
      <c r="AK15" s="14">
        <v>18045943.284000002</v>
      </c>
      <c r="AL15" s="14" t="e" cm="1">
        <f t="array" ref="AL15">IF(SUMPRODUCT((C15&gt;=C$2:C$37)*(D15&gt;=D$2:D$37)*(E15&gt;=E$2:E$37)*(#REF!&gt;=#REF!)*(F15&gt;=F$2:F$37)*(ROW(C$2:C$37)&lt;&gt;ROW()))&gt;0,1,0)</f>
        <v>#REF!</v>
      </c>
      <c r="AM15" s="14">
        <v>0</v>
      </c>
    </row>
    <row r="16" spans="1:39" x14ac:dyDescent="0.3">
      <c r="A16" s="5" t="s">
        <v>69</v>
      </c>
      <c r="B16" s="5">
        <v>760</v>
      </c>
      <c r="C16" s="5">
        <v>380</v>
      </c>
      <c r="D16" s="5">
        <v>380</v>
      </c>
      <c r="E16" s="5">
        <v>800</v>
      </c>
      <c r="F16" s="6">
        <v>34.867172431342603</v>
      </c>
      <c r="G16" s="10">
        <v>3.6322635449387199</v>
      </c>
      <c r="H16" s="10">
        <v>5.5402371819960798</v>
      </c>
      <c r="I16" s="5">
        <v>100</v>
      </c>
      <c r="J16" s="6">
        <v>15.821409532285699</v>
      </c>
      <c r="K16" s="5">
        <f t="shared" si="0"/>
        <v>15.821409532285699</v>
      </c>
      <c r="L16" s="14">
        <v>2784490.1392375999</v>
      </c>
      <c r="M16" s="14">
        <v>684000</v>
      </c>
      <c r="N16" s="14">
        <v>304000</v>
      </c>
      <c r="O16" s="14">
        <v>676490.13923760003</v>
      </c>
      <c r="P16" s="14">
        <v>880000</v>
      </c>
      <c r="Q16" s="14">
        <v>240000</v>
      </c>
      <c r="R16" s="14">
        <v>612896.59076007595</v>
      </c>
      <c r="S16" s="14">
        <v>13529.802784752001</v>
      </c>
      <c r="T16" s="14">
        <v>10260</v>
      </c>
      <c r="U16" s="14">
        <v>1200</v>
      </c>
      <c r="V16" s="14">
        <v>6080</v>
      </c>
      <c r="W16" s="14">
        <v>8800</v>
      </c>
      <c r="X16" s="14">
        <v>0</v>
      </c>
      <c r="Y16" s="14">
        <v>234593.89838973799</v>
      </c>
      <c r="Z16" s="14">
        <v>0</v>
      </c>
      <c r="AA16" s="14">
        <v>282.916551308762</v>
      </c>
      <c r="AB16" s="14">
        <v>0</v>
      </c>
      <c r="AC16" s="14">
        <v>104174.30756941999</v>
      </c>
      <c r="AD16" s="15">
        <v>2.6794328660579498E-10</v>
      </c>
      <c r="AE16" s="14">
        <v>5.5402371819960798</v>
      </c>
      <c r="AF16" s="14">
        <v>5532702.4594285702</v>
      </c>
      <c r="AG16" s="14">
        <v>4990372.9139999999</v>
      </c>
      <c r="AH16" s="14">
        <v>0</v>
      </c>
      <c r="AI16" s="14">
        <v>102904.922870045</v>
      </c>
      <c r="AJ16" s="14">
        <v>21354926.2774285</v>
      </c>
      <c r="AK16" s="14">
        <v>15821409.5322857</v>
      </c>
      <c r="AL16" s="14" t="e" cm="1">
        <f t="array" ref="AL16">IF(SUMPRODUCT((C16&gt;=C$2:C$37)*(D16&gt;=D$2:D$37)*(E16&gt;=E$2:E$37)*(#REF!&gt;=#REF!)*(F16&gt;=F$2:F$37)*(ROW(C$2:C$37)&lt;&gt;ROW()))&gt;0,1,0)</f>
        <v>#REF!</v>
      </c>
      <c r="AM16" s="14">
        <v>0</v>
      </c>
    </row>
    <row r="17" spans="1:39" x14ac:dyDescent="0.3">
      <c r="A17" s="5" t="s">
        <v>70</v>
      </c>
      <c r="B17" s="5">
        <v>880</v>
      </c>
      <c r="C17" s="5">
        <v>660</v>
      </c>
      <c r="D17" s="5">
        <v>220</v>
      </c>
      <c r="E17" s="5">
        <v>800</v>
      </c>
      <c r="F17" s="6">
        <v>35.331363467832503</v>
      </c>
      <c r="G17" s="10">
        <v>3.68075134138551</v>
      </c>
      <c r="H17" s="10">
        <v>9.5698412263535495</v>
      </c>
      <c r="I17" s="5">
        <v>100</v>
      </c>
      <c r="J17" s="6">
        <v>19.192443053142799</v>
      </c>
      <c r="K17" s="5">
        <f t="shared" si="0"/>
        <v>19.192443053142799</v>
      </c>
      <c r="L17" s="14">
        <v>2888417.7612483399</v>
      </c>
      <c r="M17" s="14">
        <v>792000</v>
      </c>
      <c r="N17" s="14">
        <v>528000</v>
      </c>
      <c r="O17" s="14">
        <v>448417.76124834799</v>
      </c>
      <c r="P17" s="14">
        <v>880000</v>
      </c>
      <c r="Q17" s="14">
        <v>240000</v>
      </c>
      <c r="R17" s="14">
        <v>636547.91279957199</v>
      </c>
      <c r="S17" s="14">
        <v>8968.3552249669592</v>
      </c>
      <c r="T17" s="14">
        <v>11880</v>
      </c>
      <c r="U17" s="14">
        <v>1200</v>
      </c>
      <c r="V17" s="14">
        <v>10560</v>
      </c>
      <c r="W17" s="14">
        <v>8800</v>
      </c>
      <c r="X17" s="14">
        <v>0</v>
      </c>
      <c r="Y17" s="14">
        <v>155502.74071548801</v>
      </c>
      <c r="Z17" s="14">
        <v>0</v>
      </c>
      <c r="AA17" s="14">
        <v>282.92662210466801</v>
      </c>
      <c r="AB17" s="14">
        <v>0</v>
      </c>
      <c r="AC17" s="14">
        <v>104178.01579428501</v>
      </c>
      <c r="AD17" s="15">
        <v>1.24572733081354E-10</v>
      </c>
      <c r="AE17" s="14">
        <v>9.5698412263535495</v>
      </c>
      <c r="AF17" s="14">
        <v>5532899.4034285704</v>
      </c>
      <c r="AG17" s="14">
        <v>4301694.2382857101</v>
      </c>
      <c r="AH17" s="14">
        <v>0</v>
      </c>
      <c r="AI17" s="14">
        <v>102904.922870045</v>
      </c>
      <c r="AJ17" s="14">
        <v>24726756.742285699</v>
      </c>
      <c r="AK17" s="14">
        <v>19192443.053142801</v>
      </c>
      <c r="AL17" s="14" t="e" cm="1">
        <f t="array" ref="AL17">IF(SUMPRODUCT((C17&gt;=C$2:C$37)*(D17&gt;=D$2:D$37)*(E17&gt;=E$2:E$37)*(#REF!&gt;=#REF!)*(F17&gt;=F$2:F$37)*(ROW(C$2:C$37)&lt;&gt;ROW()))&gt;0,1,0)</f>
        <v>#REF!</v>
      </c>
      <c r="AM17" s="14">
        <v>0</v>
      </c>
    </row>
    <row r="18" spans="1:39" x14ac:dyDescent="0.3">
      <c r="A18" s="5" t="s">
        <v>71</v>
      </c>
      <c r="B18" s="5">
        <v>1320</v>
      </c>
      <c r="C18" s="5">
        <v>220</v>
      </c>
      <c r="D18" s="5">
        <v>220</v>
      </c>
      <c r="E18" s="5">
        <v>800</v>
      </c>
      <c r="F18" s="6">
        <v>35.590976987770901</v>
      </c>
      <c r="G18" s="10">
        <v>3.7078416486352102</v>
      </c>
      <c r="H18" s="10">
        <v>9.5699555283757292</v>
      </c>
      <c r="I18" s="5">
        <v>100</v>
      </c>
      <c r="J18" s="6">
        <v>31.5566981965714</v>
      </c>
      <c r="K18" s="5">
        <f t="shared" si="0"/>
        <v>31.5566981965714</v>
      </c>
      <c r="L18" s="14">
        <v>2932417.7612483399</v>
      </c>
      <c r="M18" s="14">
        <v>1188000</v>
      </c>
      <c r="N18" s="14">
        <v>176000</v>
      </c>
      <c r="O18" s="14">
        <v>448417.76124834799</v>
      </c>
      <c r="P18" s="14">
        <v>880000</v>
      </c>
      <c r="Q18" s="14">
        <v>240000</v>
      </c>
      <c r="R18" s="14">
        <v>619638.21667000104</v>
      </c>
      <c r="S18" s="14">
        <v>8968.3552249669592</v>
      </c>
      <c r="T18" s="14">
        <v>17820</v>
      </c>
      <c r="U18" s="14">
        <v>1200</v>
      </c>
      <c r="V18" s="14">
        <v>3520</v>
      </c>
      <c r="W18" s="14">
        <v>8800</v>
      </c>
      <c r="X18" s="14">
        <v>0</v>
      </c>
      <c r="Y18" s="14">
        <v>155502.74071548801</v>
      </c>
      <c r="Z18" s="14">
        <v>0</v>
      </c>
      <c r="AA18" s="14">
        <v>282.93000137547</v>
      </c>
      <c r="AB18" s="14">
        <v>0</v>
      </c>
      <c r="AC18" s="14">
        <v>104179.260094749</v>
      </c>
      <c r="AD18" s="15">
        <v>1.1589396109457E-10</v>
      </c>
      <c r="AE18" s="14">
        <v>9.5699555283757292</v>
      </c>
      <c r="AF18" s="14">
        <v>5532965.4882857101</v>
      </c>
      <c r="AG18" s="14">
        <v>4958584.4597142804</v>
      </c>
      <c r="AH18" s="14">
        <v>0</v>
      </c>
      <c r="AI18" s="14">
        <v>102904.922870045</v>
      </c>
      <c r="AJ18" s="14">
        <v>37090135.113428503</v>
      </c>
      <c r="AK18" s="14">
        <v>31556698.196571399</v>
      </c>
      <c r="AL18" s="14" t="e" cm="1">
        <f t="array" ref="AL18">IF(SUMPRODUCT((C18&gt;=C$2:C$37)*(D18&gt;=D$2:D$37)*(E18&gt;=E$2:E$37)*(#REF!&gt;=#REF!)*(F18&gt;=F$2:F$37)*(ROW(C$2:C$37)&lt;&gt;ROW()))&gt;0,1,0)</f>
        <v>#REF!</v>
      </c>
      <c r="AM18" s="14">
        <v>0</v>
      </c>
    </row>
    <row r="19" spans="1:39" x14ac:dyDescent="0.3">
      <c r="A19" s="5" t="s">
        <v>72</v>
      </c>
      <c r="B19" s="5">
        <v>1120</v>
      </c>
      <c r="C19" s="5">
        <v>420</v>
      </c>
      <c r="D19" s="5">
        <v>140</v>
      </c>
      <c r="E19" s="5">
        <v>1000</v>
      </c>
      <c r="F19" s="6">
        <v>35.746440081293599</v>
      </c>
      <c r="G19" s="10">
        <v>3.73925692265734</v>
      </c>
      <c r="H19" s="10">
        <v>15.0999602739726</v>
      </c>
      <c r="I19" s="5">
        <v>100</v>
      </c>
      <c r="J19" s="6">
        <v>25.913940287999999</v>
      </c>
      <c r="K19" s="5">
        <f t="shared" si="0"/>
        <v>25.913940287999999</v>
      </c>
      <c r="L19" s="14">
        <v>3005415.1662190398</v>
      </c>
      <c r="M19" s="14">
        <v>1008000</v>
      </c>
      <c r="N19" s="14">
        <v>336000</v>
      </c>
      <c r="O19" s="14">
        <v>321415.16621904698</v>
      </c>
      <c r="P19" s="14">
        <v>1100000</v>
      </c>
      <c r="Q19" s="14">
        <v>240000</v>
      </c>
      <c r="R19" s="14">
        <v>622097.010995085</v>
      </c>
      <c r="S19" s="14">
        <v>6428.3033243809496</v>
      </c>
      <c r="T19" s="14">
        <v>15120</v>
      </c>
      <c r="U19" s="14">
        <v>1200</v>
      </c>
      <c r="V19" s="14">
        <v>6720</v>
      </c>
      <c r="W19" s="14">
        <v>11000</v>
      </c>
      <c r="X19" s="14">
        <v>0</v>
      </c>
      <c r="Y19" s="14">
        <v>111460.65917514999</v>
      </c>
      <c r="Z19" s="14">
        <v>0</v>
      </c>
      <c r="AA19" s="14">
        <v>284.08626806448001</v>
      </c>
      <c r="AB19" s="14">
        <v>0</v>
      </c>
      <c r="AC19" s="14">
        <v>104605.015608648</v>
      </c>
      <c r="AD19" s="15">
        <v>7.5384936388494198E-11</v>
      </c>
      <c r="AE19" s="14">
        <v>15.0999602739726</v>
      </c>
      <c r="AF19" s="14">
        <v>5555577.3839999996</v>
      </c>
      <c r="AG19" s="14">
        <v>4252960.08</v>
      </c>
      <c r="AH19" s="14">
        <v>0</v>
      </c>
      <c r="AI19" s="14">
        <v>102904.922870045</v>
      </c>
      <c r="AJ19" s="14">
        <v>31470417.671999998</v>
      </c>
      <c r="AK19" s="14">
        <v>25913940.287999999</v>
      </c>
      <c r="AL19" s="14" t="e" cm="1">
        <f t="array" ref="AL19">IF(SUMPRODUCT((C19&gt;=C$2:C$37)*(D19&gt;=D$2:D$37)*(E19&gt;=E$2:E$37)*(#REF!&gt;=#REF!)*(F19&gt;=F$2:F$37)*(ROW(C$2:C$37)&lt;&gt;ROW()))&gt;0,1,0)</f>
        <v>#REF!</v>
      </c>
      <c r="AM19" s="14">
        <v>0</v>
      </c>
    </row>
    <row r="20" spans="1:39" x14ac:dyDescent="0.3">
      <c r="A20" s="5" t="s">
        <v>73</v>
      </c>
      <c r="B20" s="5">
        <v>1440</v>
      </c>
      <c r="C20" s="5">
        <v>0</v>
      </c>
      <c r="D20" s="5">
        <v>180</v>
      </c>
      <c r="E20" s="5">
        <v>1000</v>
      </c>
      <c r="F20" s="6">
        <v>35.964555642619999</v>
      </c>
      <c r="G20" s="10">
        <v>3.7620223649945399</v>
      </c>
      <c r="H20" s="10">
        <v>11.7442557729941</v>
      </c>
      <c r="I20" s="5">
        <v>100</v>
      </c>
      <c r="J20" s="6">
        <v>34.906462827428498</v>
      </c>
      <c r="K20" s="5">
        <f t="shared" si="0"/>
        <v>34.906462827428498</v>
      </c>
      <c r="L20" s="14">
        <v>3022496.4004074601</v>
      </c>
      <c r="M20" s="14">
        <v>1296000</v>
      </c>
      <c r="N20" s="14">
        <v>0</v>
      </c>
      <c r="O20" s="14">
        <v>386496.40040746599</v>
      </c>
      <c r="P20" s="14">
        <v>1100000</v>
      </c>
      <c r="Q20" s="14">
        <v>240000</v>
      </c>
      <c r="R20" s="14">
        <v>605212.29023717798</v>
      </c>
      <c r="S20" s="14">
        <v>7729.9280081493298</v>
      </c>
      <c r="T20" s="14">
        <v>19440</v>
      </c>
      <c r="U20" s="14">
        <v>1200</v>
      </c>
      <c r="V20" s="14">
        <v>0</v>
      </c>
      <c r="W20" s="14">
        <v>11000</v>
      </c>
      <c r="X20" s="14">
        <v>0</v>
      </c>
      <c r="Y20" s="14">
        <v>134029.59189822499</v>
      </c>
      <c r="Z20" s="14">
        <v>0</v>
      </c>
      <c r="AA20" s="14">
        <v>284.08245167428998</v>
      </c>
      <c r="AB20" s="14">
        <v>0</v>
      </c>
      <c r="AC20" s="14">
        <v>104603.61035397599</v>
      </c>
      <c r="AD20" s="15">
        <v>3.2005112845670898E-10</v>
      </c>
      <c r="AE20" s="14">
        <v>11.7442557729941</v>
      </c>
      <c r="AF20" s="14">
        <v>5555502.7508571399</v>
      </c>
      <c r="AG20" s="14">
        <v>5555502.7508571399</v>
      </c>
      <c r="AH20" s="14">
        <v>0</v>
      </c>
      <c r="AI20" s="14">
        <v>102904.922870045</v>
      </c>
      <c r="AJ20" s="14">
        <v>40461965.578285702</v>
      </c>
      <c r="AK20" s="14">
        <v>34906462.827428497</v>
      </c>
      <c r="AL20" s="14" t="e" cm="1">
        <f t="array" ref="AL20">IF(SUMPRODUCT((C20&gt;=C$2:C$37)*(D20&gt;=D$2:D$37)*(E20&gt;=E$2:E$37)*(#REF!&gt;=#REF!)*(F20&gt;=F$2:F$37)*(ROW(C$2:C$37)&lt;&gt;ROW()))&gt;0,1,0)</f>
        <v>#REF!</v>
      </c>
      <c r="AM20" s="14">
        <v>0</v>
      </c>
    </row>
    <row r="21" spans="1:39" x14ac:dyDescent="0.3">
      <c r="A21" s="5" t="s">
        <v>74</v>
      </c>
      <c r="B21" s="5">
        <v>1560</v>
      </c>
      <c r="C21" s="5">
        <v>0</v>
      </c>
      <c r="D21" s="5">
        <v>260</v>
      </c>
      <c r="E21" s="5">
        <v>800</v>
      </c>
      <c r="F21" s="6">
        <v>36.880340112464197</v>
      </c>
      <c r="G21" s="10">
        <v>3.8420233358417799</v>
      </c>
      <c r="H21" s="10">
        <v>8.0973528538812793</v>
      </c>
      <c r="I21" s="5">
        <v>100</v>
      </c>
      <c r="J21" s="6">
        <v>38.301036785142799</v>
      </c>
      <c r="K21" s="5">
        <f t="shared" si="0"/>
        <v>38.301036785142799</v>
      </c>
      <c r="L21" s="14">
        <v>3031953.6089434801</v>
      </c>
      <c r="M21" s="14">
        <v>1404000</v>
      </c>
      <c r="N21" s="14">
        <v>0</v>
      </c>
      <c r="O21" s="14">
        <v>507953.60894348501</v>
      </c>
      <c r="P21" s="14">
        <v>880000</v>
      </c>
      <c r="Q21" s="14">
        <v>240000</v>
      </c>
      <c r="R21" s="14">
        <v>633638.168443223</v>
      </c>
      <c r="S21" s="14">
        <v>10159.072178869699</v>
      </c>
      <c r="T21" s="14">
        <v>21060</v>
      </c>
      <c r="U21" s="14">
        <v>1200</v>
      </c>
      <c r="V21" s="14">
        <v>0</v>
      </c>
      <c r="W21" s="14">
        <v>8800</v>
      </c>
      <c r="X21" s="14">
        <v>0</v>
      </c>
      <c r="Y21" s="14">
        <v>176148.638999357</v>
      </c>
      <c r="Z21" s="14">
        <v>0</v>
      </c>
      <c r="AA21" s="14">
        <v>282.91945572230401</v>
      </c>
      <c r="AB21" s="14">
        <v>0</v>
      </c>
      <c r="AC21" s="14">
        <v>104175.37702</v>
      </c>
      <c r="AD21" s="15">
        <v>3.9054045711647399E-10</v>
      </c>
      <c r="AE21" s="14">
        <v>8.0973528538812793</v>
      </c>
      <c r="AF21" s="14">
        <v>5532759.2580000004</v>
      </c>
      <c r="AG21" s="14">
        <v>5532759.2580000004</v>
      </c>
      <c r="AH21" s="14">
        <v>0</v>
      </c>
      <c r="AI21" s="14">
        <v>102904.922870045</v>
      </c>
      <c r="AJ21" s="14">
        <v>43833796.043142803</v>
      </c>
      <c r="AK21" s="14">
        <v>38301036.785142802</v>
      </c>
      <c r="AL21" s="14" t="e" cm="1">
        <f t="array" ref="AL21">IF(SUMPRODUCT((C21&gt;=C$2:C$37)*(D21&gt;=D$2:D$37)*(E21&gt;=E$2:E$37)*(#REF!&gt;=#REF!)*(F21&gt;=F$2:F$37)*(ROW(C$2:C$37)&lt;&gt;ROW()))&gt;0,1,0)</f>
        <v>#REF!</v>
      </c>
      <c r="AM21" s="14">
        <v>0</v>
      </c>
    </row>
    <row r="22" spans="1:39" x14ac:dyDescent="0.3">
      <c r="A22" s="5" t="s">
        <v>75</v>
      </c>
      <c r="B22" s="5">
        <v>1080</v>
      </c>
      <c r="C22" s="5">
        <v>720</v>
      </c>
      <c r="D22" s="5">
        <v>180</v>
      </c>
      <c r="E22" s="5">
        <v>800</v>
      </c>
      <c r="F22" s="6">
        <v>37.076797495279898</v>
      </c>
      <c r="G22" s="10">
        <v>3.8625823403892698</v>
      </c>
      <c r="H22" s="10">
        <v>11.6964579093281</v>
      </c>
      <c r="I22" s="5">
        <v>100</v>
      </c>
      <c r="J22" s="6">
        <v>24.812038877142797</v>
      </c>
      <c r="K22" s="5">
        <f t="shared" si="0"/>
        <v>24.812038877142797</v>
      </c>
      <c r="L22" s="14">
        <v>3054496.4004074601</v>
      </c>
      <c r="M22" s="14">
        <v>972000</v>
      </c>
      <c r="N22" s="14">
        <v>576000</v>
      </c>
      <c r="O22" s="14">
        <v>386496.40040746599</v>
      </c>
      <c r="P22" s="14">
        <v>880000</v>
      </c>
      <c r="Q22" s="14">
        <v>240000</v>
      </c>
      <c r="R22" s="14">
        <v>673773.421817075</v>
      </c>
      <c r="S22" s="14">
        <v>7729.9280081493298</v>
      </c>
      <c r="T22" s="14">
        <v>14580</v>
      </c>
      <c r="U22" s="14">
        <v>1200</v>
      </c>
      <c r="V22" s="14">
        <v>11520</v>
      </c>
      <c r="W22" s="14">
        <v>8800</v>
      </c>
      <c r="X22" s="14">
        <v>0</v>
      </c>
      <c r="Y22" s="14">
        <v>134029.59189822499</v>
      </c>
      <c r="Z22" s="14">
        <v>0</v>
      </c>
      <c r="AA22" s="14">
        <v>282.92626650960199</v>
      </c>
      <c r="AB22" s="14">
        <v>0</v>
      </c>
      <c r="AC22" s="14">
        <v>104177.88485861001</v>
      </c>
      <c r="AD22" s="15">
        <v>3.2085524713311602E-10</v>
      </c>
      <c r="AE22" s="14">
        <v>11.6964579093281</v>
      </c>
      <c r="AF22" s="14">
        <v>5532892.4494285705</v>
      </c>
      <c r="AG22" s="14">
        <v>4014562.9551428501</v>
      </c>
      <c r="AH22" s="14">
        <v>0</v>
      </c>
      <c r="AI22" s="14">
        <v>102904.922870045</v>
      </c>
      <c r="AJ22" s="14">
        <v>30346474.1837142</v>
      </c>
      <c r="AK22" s="14">
        <v>24812038.877142798</v>
      </c>
      <c r="AL22" s="14" t="e" cm="1">
        <f t="array" ref="AL22">IF(SUMPRODUCT((C22&gt;=C$2:C$37)*(D22&gt;=D$2:D$37)*(E22&gt;=E$2:E$37)*(#REF!&gt;=#REF!)*(F22&gt;=F$2:F$37)*(ROW(C$2:C$37)&lt;&gt;ROW()))&gt;0,1,0)</f>
        <v>#REF!</v>
      </c>
      <c r="AM22" s="14">
        <v>0</v>
      </c>
    </row>
    <row r="23" spans="1:39" x14ac:dyDescent="0.3">
      <c r="A23" s="5" t="s">
        <v>76</v>
      </c>
      <c r="B23" s="5">
        <v>1200</v>
      </c>
      <c r="C23" s="5">
        <v>600</v>
      </c>
      <c r="D23" s="5">
        <v>300</v>
      </c>
      <c r="E23" s="5">
        <v>600</v>
      </c>
      <c r="F23" s="6">
        <v>37.711137700472101</v>
      </c>
      <c r="G23" s="10">
        <v>3.9124276260198201</v>
      </c>
      <c r="H23" s="10">
        <v>6.9888667318982396</v>
      </c>
      <c r="I23" s="5">
        <v>100</v>
      </c>
      <c r="J23" s="6">
        <v>28.206996402857097</v>
      </c>
      <c r="K23" s="5">
        <f t="shared" si="0"/>
        <v>28.206996402857097</v>
      </c>
      <c r="L23" s="14">
        <v>3025599.4190615602</v>
      </c>
      <c r="M23" s="14">
        <v>1080000</v>
      </c>
      <c r="N23" s="14">
        <v>480000</v>
      </c>
      <c r="O23" s="14">
        <v>565599.41906156705</v>
      </c>
      <c r="P23" s="14">
        <v>660000</v>
      </c>
      <c r="Q23" s="14">
        <v>240000</v>
      </c>
      <c r="R23" s="14">
        <v>690407.34191040904</v>
      </c>
      <c r="S23" s="14">
        <v>11311.9883812313</v>
      </c>
      <c r="T23" s="14">
        <v>16200</v>
      </c>
      <c r="U23" s="14">
        <v>1200</v>
      </c>
      <c r="V23" s="14">
        <v>9600</v>
      </c>
      <c r="W23" s="14">
        <v>6600</v>
      </c>
      <c r="X23" s="14">
        <v>0</v>
      </c>
      <c r="Y23" s="14">
        <v>196139.10824208101</v>
      </c>
      <c r="Z23" s="14">
        <v>0</v>
      </c>
      <c r="AA23" s="14">
        <v>281.75680576655299</v>
      </c>
      <c r="AB23" s="14">
        <v>0</v>
      </c>
      <c r="AC23" s="14">
        <v>103747.27108725801</v>
      </c>
      <c r="AD23" s="15">
        <v>1.8836884433223301E-10</v>
      </c>
      <c r="AE23" s="14">
        <v>6.9888667318982396</v>
      </c>
      <c r="AF23" s="14">
        <v>5510022.5314285699</v>
      </c>
      <c r="AG23" s="14">
        <v>4573440.18</v>
      </c>
      <c r="AH23" s="14">
        <v>0</v>
      </c>
      <c r="AI23" s="14">
        <v>102904.922870045</v>
      </c>
      <c r="AJ23" s="14">
        <v>33718304.648571402</v>
      </c>
      <c r="AK23" s="14">
        <v>28206996.402857099</v>
      </c>
      <c r="AL23" s="14" t="e" cm="1">
        <f t="array" ref="AL23">IF(SUMPRODUCT((C23&gt;=C$2:C$37)*(D23&gt;=D$2:D$37)*(E23&gt;=E$2:E$37)*(#REF!&gt;=#REF!)*(F23&gt;=F$2:F$37)*(ROW(C$2:C$37)&lt;&gt;ROW()))&gt;0,1,0)</f>
        <v>#REF!</v>
      </c>
      <c r="AM23" s="14">
        <v>0</v>
      </c>
    </row>
    <row r="24" spans="1:39" x14ac:dyDescent="0.3">
      <c r="A24" s="5" t="s">
        <v>77</v>
      </c>
      <c r="B24" s="5">
        <v>1800</v>
      </c>
      <c r="C24" s="5">
        <v>0</v>
      </c>
      <c r="D24" s="5">
        <v>300</v>
      </c>
      <c r="E24" s="5">
        <v>600</v>
      </c>
      <c r="F24" s="6">
        <v>38.067458045271103</v>
      </c>
      <c r="G24" s="10">
        <v>3.9493689476287597</v>
      </c>
      <c r="H24" s="10">
        <v>6.9888208251793804</v>
      </c>
      <c r="I24" s="5">
        <v>100</v>
      </c>
      <c r="J24" s="6">
        <v>45.067470634285705</v>
      </c>
      <c r="K24" s="5">
        <f t="shared" si="0"/>
        <v>45.067470634285705</v>
      </c>
      <c r="L24" s="14">
        <v>3085599.4190615602</v>
      </c>
      <c r="M24" s="14">
        <v>1620000</v>
      </c>
      <c r="N24" s="14">
        <v>0</v>
      </c>
      <c r="O24" s="14">
        <v>565599.41906156705</v>
      </c>
      <c r="P24" s="14">
        <v>660000</v>
      </c>
      <c r="Q24" s="14">
        <v>240000</v>
      </c>
      <c r="R24" s="14">
        <v>667348.66537008504</v>
      </c>
      <c r="S24" s="14">
        <v>11311.9883812313</v>
      </c>
      <c r="T24" s="14">
        <v>24300</v>
      </c>
      <c r="U24" s="14">
        <v>1200</v>
      </c>
      <c r="V24" s="14">
        <v>0</v>
      </c>
      <c r="W24" s="14">
        <v>6600</v>
      </c>
      <c r="X24" s="14">
        <v>0</v>
      </c>
      <c r="Y24" s="14">
        <v>196139.10824208101</v>
      </c>
      <c r="Z24" s="14">
        <v>0</v>
      </c>
      <c r="AA24" s="14">
        <v>281.75495503295502</v>
      </c>
      <c r="AB24" s="14">
        <v>0</v>
      </c>
      <c r="AC24" s="14">
        <v>103746.589618146</v>
      </c>
      <c r="AD24" s="15">
        <v>1.8707606892170199E-10</v>
      </c>
      <c r="AE24" s="14">
        <v>6.9888208251793804</v>
      </c>
      <c r="AF24" s="14">
        <v>5509986.3385714199</v>
      </c>
      <c r="AG24" s="14">
        <v>5509986.3385714199</v>
      </c>
      <c r="AH24" s="14">
        <v>0</v>
      </c>
      <c r="AI24" s="14">
        <v>102904.922870045</v>
      </c>
      <c r="AJ24" s="14">
        <v>50577456.972857103</v>
      </c>
      <c r="AK24" s="14">
        <v>45067470.634285703</v>
      </c>
      <c r="AL24" s="14" t="e" cm="1">
        <f t="array" ref="AL24">IF(SUMPRODUCT((C24&gt;=C$2:C$37)*(D24&gt;=D$2:D$37)*(E24&gt;=E$2:E$37)*(#REF!&gt;=#REF!)*(F24&gt;=F$2:F$37)*(ROW(C$2:C$37)&lt;&gt;ROW()))&gt;0,1,0)</f>
        <v>#REF!</v>
      </c>
      <c r="AM24" s="14">
        <v>0</v>
      </c>
    </row>
    <row r="25" spans="1:39" x14ac:dyDescent="0.3">
      <c r="A25" s="5" t="s">
        <v>78</v>
      </c>
      <c r="B25" s="5">
        <v>1440</v>
      </c>
      <c r="C25" s="5">
        <v>540</v>
      </c>
      <c r="D25" s="5">
        <v>180</v>
      </c>
      <c r="E25" s="5">
        <v>800</v>
      </c>
      <c r="F25" s="6">
        <v>39.095816656221302</v>
      </c>
      <c r="G25" s="10">
        <v>4.0730198003908598</v>
      </c>
      <c r="H25" s="10">
        <v>11.6967459882583</v>
      </c>
      <c r="I25" s="5">
        <v>100</v>
      </c>
      <c r="J25" s="6">
        <v>34.927779713142797</v>
      </c>
      <c r="K25" s="5">
        <f t="shared" si="0"/>
        <v>34.927779713142797</v>
      </c>
      <c r="L25" s="14">
        <v>3234496.4004074601</v>
      </c>
      <c r="M25" s="14">
        <v>1296000</v>
      </c>
      <c r="N25" s="14">
        <v>432000</v>
      </c>
      <c r="O25" s="14">
        <v>386496.40040746599</v>
      </c>
      <c r="P25" s="14">
        <v>880000</v>
      </c>
      <c r="Q25" s="14">
        <v>240000</v>
      </c>
      <c r="R25" s="14">
        <v>704210.87485030305</v>
      </c>
      <c r="S25" s="14">
        <v>7729.9280081493298</v>
      </c>
      <c r="T25" s="14">
        <v>19440</v>
      </c>
      <c r="U25" s="14">
        <v>1200</v>
      </c>
      <c r="V25" s="14">
        <v>8640</v>
      </c>
      <c r="W25" s="14">
        <v>8800</v>
      </c>
      <c r="X25" s="14">
        <v>0</v>
      </c>
      <c r="Y25" s="14">
        <v>134029.59189822499</v>
      </c>
      <c r="Z25" s="14">
        <v>0</v>
      </c>
      <c r="AA25" s="14">
        <v>282.93323486675899</v>
      </c>
      <c r="AB25" s="14">
        <v>0</v>
      </c>
      <c r="AC25" s="14">
        <v>104180.450716911</v>
      </c>
      <c r="AD25" s="15">
        <v>3.27411431300106E-10</v>
      </c>
      <c r="AE25" s="14">
        <v>11.6967459882583</v>
      </c>
      <c r="AF25" s="14">
        <v>5533028.7222857103</v>
      </c>
      <c r="AG25" s="14">
        <v>4268546.6708571399</v>
      </c>
      <c r="AH25" s="14">
        <v>0</v>
      </c>
      <c r="AI25" s="14">
        <v>102904.922870045</v>
      </c>
      <c r="AJ25" s="14">
        <v>40461965.578285702</v>
      </c>
      <c r="AK25" s="14">
        <v>34927779.713142797</v>
      </c>
      <c r="AL25" s="14" t="e" cm="1">
        <f t="array" ref="AL25">IF(SUMPRODUCT((C25&gt;=C$2:C$37)*(D25&gt;=D$2:D$37)*(E25&gt;=E$2:E$37)*(#REF!&gt;=#REF!)*(F25&gt;=F$2:F$37)*(ROW(C$2:C$37)&lt;&gt;ROW()))&gt;0,1,0)</f>
        <v>#REF!</v>
      </c>
      <c r="AM25" s="14">
        <v>0</v>
      </c>
    </row>
    <row r="26" spans="1:39" x14ac:dyDescent="0.3">
      <c r="A26" s="5" t="s">
        <v>79</v>
      </c>
      <c r="B26" s="5">
        <v>1560</v>
      </c>
      <c r="C26" s="5">
        <v>520</v>
      </c>
      <c r="D26" s="5">
        <v>260</v>
      </c>
      <c r="E26" s="5">
        <v>600</v>
      </c>
      <c r="F26" s="6">
        <v>39.829102432990503</v>
      </c>
      <c r="G26" s="10">
        <v>4.1321015694453198</v>
      </c>
      <c r="H26" s="10">
        <v>8.0639616275277195</v>
      </c>
      <c r="I26" s="5">
        <v>100</v>
      </c>
      <c r="J26" s="6">
        <v>38.322738056571403</v>
      </c>
      <c r="K26" s="5">
        <f t="shared" si="0"/>
        <v>38.322738056571403</v>
      </c>
      <c r="L26" s="14">
        <v>3227953.6089434801</v>
      </c>
      <c r="M26" s="14">
        <v>1404000</v>
      </c>
      <c r="N26" s="14">
        <v>416000</v>
      </c>
      <c r="O26" s="14">
        <v>507953.60894348501</v>
      </c>
      <c r="P26" s="14">
        <v>660000</v>
      </c>
      <c r="Q26" s="14">
        <v>240000</v>
      </c>
      <c r="R26" s="14">
        <v>727717.56872774602</v>
      </c>
      <c r="S26" s="14">
        <v>10159.072178869699</v>
      </c>
      <c r="T26" s="14">
        <v>21060</v>
      </c>
      <c r="U26" s="14">
        <v>1200</v>
      </c>
      <c r="V26" s="14">
        <v>8320</v>
      </c>
      <c r="W26" s="14">
        <v>6600</v>
      </c>
      <c r="X26" s="14">
        <v>0</v>
      </c>
      <c r="Y26" s="14">
        <v>176148.638999357</v>
      </c>
      <c r="Z26" s="14">
        <v>0</v>
      </c>
      <c r="AA26" s="14">
        <v>281.75277473947898</v>
      </c>
      <c r="AB26" s="14">
        <v>0</v>
      </c>
      <c r="AC26" s="14">
        <v>103745.786799922</v>
      </c>
      <c r="AD26" s="17">
        <v>3.7069728239405901E-10</v>
      </c>
      <c r="AE26" s="18">
        <v>8.0639616275277195</v>
      </c>
      <c r="AF26" s="14">
        <v>5509943.7008571401</v>
      </c>
      <c r="AG26" s="14">
        <v>4578600.5014285697</v>
      </c>
      <c r="AH26" s="14">
        <v>0</v>
      </c>
      <c r="AI26" s="14">
        <v>102904.922870045</v>
      </c>
      <c r="AJ26" s="14">
        <v>43833796.043142803</v>
      </c>
      <c r="AK26" s="14">
        <v>38322738.056571402</v>
      </c>
      <c r="AL26" s="14" t="e" cm="1">
        <f t="array" ref="AL26">IF(SUMPRODUCT((C26&gt;=C$2:C$37)*(D26&gt;=D$2:D$37)*(E26&gt;=E$2:E$37)*(#REF!&gt;=#REF!)*(F26&gt;=F$2:F$37)*(ROW(C$2:C$37)&lt;&gt;ROW()))&gt;0,1,0)</f>
        <v>#REF!</v>
      </c>
      <c r="AM26" s="14">
        <v>0</v>
      </c>
    </row>
    <row r="27" spans="1:39" x14ac:dyDescent="0.3">
      <c r="A27" s="5" t="s">
        <v>80</v>
      </c>
      <c r="B27" s="5">
        <v>1320</v>
      </c>
      <c r="C27" s="5">
        <v>880</v>
      </c>
      <c r="D27" s="5">
        <v>220</v>
      </c>
      <c r="E27" s="5">
        <v>600</v>
      </c>
      <c r="F27" s="6">
        <v>39.945704923544099</v>
      </c>
      <c r="G27" s="10">
        <v>4.1443541725711803</v>
      </c>
      <c r="H27" s="10">
        <v>9.5304942596216495</v>
      </c>
      <c r="I27" s="5">
        <v>100</v>
      </c>
      <c r="J27" s="6">
        <v>31.578098837999999</v>
      </c>
      <c r="K27" s="5">
        <f t="shared" si="0"/>
        <v>31.578098837999999</v>
      </c>
      <c r="L27" s="14">
        <v>3240417.7612483399</v>
      </c>
      <c r="M27" s="14">
        <v>1188000</v>
      </c>
      <c r="N27" s="14">
        <v>704000</v>
      </c>
      <c r="O27" s="14">
        <v>448417.76124834799</v>
      </c>
      <c r="P27" s="14">
        <v>660000</v>
      </c>
      <c r="Q27" s="14">
        <v>240000</v>
      </c>
      <c r="R27" s="14">
        <v>748151.90725474095</v>
      </c>
      <c r="S27" s="14">
        <v>8968.3552249669592</v>
      </c>
      <c r="T27" s="14">
        <v>17820</v>
      </c>
      <c r="U27" s="14">
        <v>1200</v>
      </c>
      <c r="V27" s="14">
        <v>14080</v>
      </c>
      <c r="W27" s="14">
        <v>6600</v>
      </c>
      <c r="X27" s="14">
        <v>0</v>
      </c>
      <c r="Y27" s="14">
        <v>155502.74071548801</v>
      </c>
      <c r="Z27" s="14">
        <v>0</v>
      </c>
      <c r="AA27" s="14">
        <v>281.76335260790103</v>
      </c>
      <c r="AB27" s="14">
        <v>0</v>
      </c>
      <c r="AC27" s="14">
        <v>103749.68173683299</v>
      </c>
      <c r="AD27" s="17">
        <v>1.03931149400945E-10</v>
      </c>
      <c r="AE27" s="18">
        <v>9.5304942596216495</v>
      </c>
      <c r="AF27" s="14">
        <v>5510150.5611428497</v>
      </c>
      <c r="AG27" s="14">
        <v>4042279.73914285</v>
      </c>
      <c r="AH27" s="14">
        <v>0</v>
      </c>
      <c r="AI27" s="14">
        <v>102904.922870045</v>
      </c>
      <c r="AJ27" s="14">
        <v>37090135.113428503</v>
      </c>
      <c r="AK27" s="14">
        <v>31578098.838</v>
      </c>
      <c r="AL27" s="14" t="e" cm="1">
        <f t="array" ref="AL27">IF(SUMPRODUCT((C27&gt;=C$2:C$37)*(D27&gt;=D$2:D$37)*(E27&gt;=E$2:E$37)*(#REF!&gt;=#REF!)*(F27&gt;=F$2:F$37)*(ROW(C$2:C$37)&lt;&gt;ROW()))&gt;0,1,0)</f>
        <v>#REF!</v>
      </c>
      <c r="AM27" s="14">
        <v>0</v>
      </c>
    </row>
    <row r="28" spans="1:39" x14ac:dyDescent="0.3">
      <c r="A28" s="5" t="s">
        <v>81</v>
      </c>
      <c r="B28" s="11">
        <v>1680</v>
      </c>
      <c r="C28" s="11">
        <v>420</v>
      </c>
      <c r="D28" s="11">
        <v>420</v>
      </c>
      <c r="E28" s="11">
        <v>400</v>
      </c>
      <c r="F28" s="12">
        <v>41.369246806605503</v>
      </c>
      <c r="G28" s="13">
        <v>4.2741818753591803</v>
      </c>
      <c r="H28" s="10">
        <v>4.9713853228962801</v>
      </c>
      <c r="I28" s="5">
        <v>100</v>
      </c>
      <c r="J28" s="6">
        <v>41.717510244000003</v>
      </c>
      <c r="K28" s="5">
        <f t="shared" si="0"/>
        <v>41.717510244000003</v>
      </c>
      <c r="L28" s="16">
        <v>3258167.8210864901</v>
      </c>
      <c r="M28" s="16">
        <v>1512000</v>
      </c>
      <c r="N28" s="16">
        <v>336000</v>
      </c>
      <c r="O28" s="16">
        <v>730167.82108649402</v>
      </c>
      <c r="P28" s="16">
        <v>440000</v>
      </c>
      <c r="Q28" s="16">
        <v>240000</v>
      </c>
      <c r="R28" s="16">
        <v>762525.16736205597</v>
      </c>
      <c r="S28" s="16">
        <v>14603.356421729801</v>
      </c>
      <c r="T28" s="16">
        <v>22680</v>
      </c>
      <c r="U28" s="16">
        <v>1200</v>
      </c>
      <c r="V28" s="16">
        <v>6720</v>
      </c>
      <c r="W28" s="16">
        <v>4400</v>
      </c>
      <c r="X28" s="16">
        <v>0</v>
      </c>
      <c r="Y28" s="16">
        <v>253208.29631081899</v>
      </c>
      <c r="Z28" s="16">
        <v>0</v>
      </c>
      <c r="AA28" s="16">
        <v>280.59059981630799</v>
      </c>
      <c r="AB28" s="16">
        <v>0</v>
      </c>
      <c r="AC28" s="16">
        <v>103317.85578162099</v>
      </c>
      <c r="AD28" s="18">
        <v>1.81700023193538</v>
      </c>
      <c r="AE28" s="18">
        <v>4.9713853228962801</v>
      </c>
      <c r="AF28" s="16">
        <v>5487216.2640000004</v>
      </c>
      <c r="AG28" s="16">
        <v>4827389.2920000004</v>
      </c>
      <c r="AH28" s="16">
        <v>0</v>
      </c>
      <c r="AI28" s="16">
        <v>102904.922870045</v>
      </c>
      <c r="AJ28" s="16">
        <v>47205626.508000001</v>
      </c>
      <c r="AK28" s="16">
        <v>41717510.244000003</v>
      </c>
      <c r="AL28" s="14" t="e" cm="1">
        <f t="array" ref="AL28">IF(SUMPRODUCT((C28&gt;=C$2:C$37)*(D28&gt;=D$2:D$37)*(E28&gt;=E$2:E$37)*(#REF!&gt;=#REF!)*(F28&gt;=F$2:F$37)*(ROW(C$2:C$37)&lt;&gt;ROW()))&gt;0,1,0)</f>
        <v>#REF!</v>
      </c>
    </row>
    <row r="29" spans="1:39" x14ac:dyDescent="0.3">
      <c r="A29" s="5" t="s">
        <v>82</v>
      </c>
      <c r="B29" s="11">
        <v>1760</v>
      </c>
      <c r="C29" s="11">
        <v>660</v>
      </c>
      <c r="D29" s="11">
        <v>220</v>
      </c>
      <c r="E29" s="11">
        <v>600</v>
      </c>
      <c r="F29" s="12">
        <v>42.424945884689301</v>
      </c>
      <c r="G29" s="13">
        <v>4.40155550283162</v>
      </c>
      <c r="H29" s="10">
        <v>9.5304528375733799</v>
      </c>
      <c r="I29" s="5">
        <v>100</v>
      </c>
      <c r="J29" s="6">
        <v>43.941972586285701</v>
      </c>
      <c r="K29" s="5">
        <f t="shared" si="0"/>
        <v>43.941972586285701</v>
      </c>
      <c r="L29" s="16">
        <v>3460417.7612483399</v>
      </c>
      <c r="M29" s="16">
        <v>1584000</v>
      </c>
      <c r="N29" s="16">
        <v>528000</v>
      </c>
      <c r="O29" s="16">
        <v>448417.76124834799</v>
      </c>
      <c r="P29" s="16">
        <v>660000</v>
      </c>
      <c r="Q29" s="16">
        <v>240000</v>
      </c>
      <c r="R29" s="16">
        <v>785353.23873979796</v>
      </c>
      <c r="S29" s="16">
        <v>8968.3552249669592</v>
      </c>
      <c r="T29" s="16">
        <v>23760</v>
      </c>
      <c r="U29" s="16">
        <v>1200</v>
      </c>
      <c r="V29" s="16">
        <v>10560</v>
      </c>
      <c r="W29" s="16">
        <v>6600</v>
      </c>
      <c r="X29" s="16">
        <v>0</v>
      </c>
      <c r="Y29" s="16">
        <v>155502.74071548801</v>
      </c>
      <c r="Z29" s="16">
        <v>0</v>
      </c>
      <c r="AA29" s="16">
        <v>281.76212798986199</v>
      </c>
      <c r="AB29" s="16">
        <v>0</v>
      </c>
      <c r="AC29" s="16">
        <v>103749.230813281</v>
      </c>
      <c r="AD29" s="17">
        <v>9.5419386677722905E-11</v>
      </c>
      <c r="AE29" s="18">
        <v>9.5304528375733799</v>
      </c>
      <c r="AF29" s="16">
        <v>5510126.6125714201</v>
      </c>
      <c r="AG29" s="16">
        <v>4285786.1074285703</v>
      </c>
      <c r="AH29" s="16">
        <v>0</v>
      </c>
      <c r="AI29" s="16">
        <v>102904.922870045</v>
      </c>
      <c r="AJ29" s="16">
        <v>49453513.484571397</v>
      </c>
      <c r="AK29" s="16">
        <v>43941972.586285703</v>
      </c>
      <c r="AL29" s="14" t="e" cm="1">
        <f t="array" ref="AL29">IF(SUMPRODUCT((C29&gt;=C$2:C$37)*(D29&gt;=D$2:D$37)*(E29&gt;=E$2:E$37)*(#REF!&gt;=#REF!)*(F29&gt;=F$2:F$37)*(ROW(C$2:C$37)&lt;&gt;ROW()))&gt;0,1,0)</f>
        <v>#REF!</v>
      </c>
      <c r="AM29" s="14">
        <v>0</v>
      </c>
    </row>
    <row r="30" spans="1:39" x14ac:dyDescent="0.3">
      <c r="A30" s="5" t="s">
        <v>83</v>
      </c>
      <c r="B30" s="11">
        <v>2280</v>
      </c>
      <c r="C30" s="11">
        <v>0</v>
      </c>
      <c r="D30" s="11">
        <v>380</v>
      </c>
      <c r="E30" s="11">
        <v>400</v>
      </c>
      <c r="F30" s="12">
        <v>42.685612692698903</v>
      </c>
      <c r="G30" s="13">
        <v>4.41060065368029</v>
      </c>
      <c r="H30" s="10">
        <v>5.4952056914546601</v>
      </c>
      <c r="I30" s="5">
        <v>100</v>
      </c>
      <c r="J30" s="6">
        <v>58.577046620571394</v>
      </c>
      <c r="K30" s="5">
        <f t="shared" si="0"/>
        <v>58.577046620571394</v>
      </c>
      <c r="L30" s="16">
        <v>3408490.1392375999</v>
      </c>
      <c r="M30" s="16">
        <v>2052000</v>
      </c>
      <c r="N30" s="16">
        <v>0</v>
      </c>
      <c r="O30" s="16">
        <v>676490.13923760003</v>
      </c>
      <c r="P30" s="16">
        <v>440000</v>
      </c>
      <c r="Q30" s="16">
        <v>240000</v>
      </c>
      <c r="R30" s="16">
        <v>767235.99906998</v>
      </c>
      <c r="S30" s="16">
        <v>13529.802784752001</v>
      </c>
      <c r="T30" s="16">
        <v>30780</v>
      </c>
      <c r="U30" s="16">
        <v>1200</v>
      </c>
      <c r="V30" s="16">
        <v>0</v>
      </c>
      <c r="W30" s="16">
        <v>4400</v>
      </c>
      <c r="X30" s="16">
        <v>0</v>
      </c>
      <c r="Y30" s="16">
        <v>234593.89838973799</v>
      </c>
      <c r="Z30" s="16">
        <v>0</v>
      </c>
      <c r="AA30" s="16">
        <v>280.61698297156602</v>
      </c>
      <c r="AB30" s="16">
        <v>0</v>
      </c>
      <c r="AC30" s="16">
        <v>103327.570472818</v>
      </c>
      <c r="AD30" s="18">
        <v>0.184411660202807</v>
      </c>
      <c r="AE30" s="18">
        <v>5.4952056914546601</v>
      </c>
      <c r="AF30" s="16">
        <v>5487732.2117142798</v>
      </c>
      <c r="AG30" s="16">
        <v>5487732.2117142798</v>
      </c>
      <c r="AH30" s="16">
        <v>0</v>
      </c>
      <c r="AI30" s="16">
        <v>102904.922870045</v>
      </c>
      <c r="AJ30" s="16">
        <v>64064778.832285702</v>
      </c>
      <c r="AK30" s="16">
        <v>58577046.620571397</v>
      </c>
      <c r="AL30" s="14" t="e" cm="1">
        <f t="array" ref="AL30">IF(SUMPRODUCT((C30&gt;=C$2:C$37)*(D30&gt;=D$2:D$37)*(E30&gt;=E$2:E$37)*(#REF!&gt;=#REF!)*(F30&gt;=F$2:F$37)*(ROW(C$2:C$37)&lt;&gt;ROW()))&gt;0,1,0)</f>
        <v>#REF!</v>
      </c>
    </row>
    <row r="31" spans="1:39" x14ac:dyDescent="0.3">
      <c r="A31" s="5" t="s">
        <v>84</v>
      </c>
      <c r="B31" s="11">
        <v>2080</v>
      </c>
      <c r="C31" s="11">
        <v>260</v>
      </c>
      <c r="D31" s="11">
        <v>260</v>
      </c>
      <c r="E31" s="11">
        <v>600</v>
      </c>
      <c r="F31" s="12">
        <v>42.758001762794002</v>
      </c>
      <c r="G31" s="13">
        <v>4.4360667860037797</v>
      </c>
      <c r="H31" s="10">
        <v>8.0641511415525091</v>
      </c>
      <c r="I31" s="5">
        <v>100</v>
      </c>
      <c r="J31" s="6">
        <v>52.934431056000001</v>
      </c>
      <c r="K31" s="5">
        <f t="shared" si="0"/>
        <v>52.934431056000001</v>
      </c>
      <c r="L31" s="16">
        <v>3487953.6089434801</v>
      </c>
      <c r="M31" s="16">
        <v>1872000</v>
      </c>
      <c r="N31" s="16">
        <v>208000</v>
      </c>
      <c r="O31" s="16">
        <v>507953.60894348501</v>
      </c>
      <c r="P31" s="16">
        <v>660000</v>
      </c>
      <c r="Q31" s="16">
        <v>240000</v>
      </c>
      <c r="R31" s="16">
        <v>771682.77866463095</v>
      </c>
      <c r="S31" s="16">
        <v>10159.072178869699</v>
      </c>
      <c r="T31" s="16">
        <v>28080</v>
      </c>
      <c r="U31" s="16">
        <v>1200</v>
      </c>
      <c r="V31" s="16">
        <v>4160</v>
      </c>
      <c r="W31" s="16">
        <v>6600</v>
      </c>
      <c r="X31" s="16">
        <v>0</v>
      </c>
      <c r="Y31" s="16">
        <v>176148.638999357</v>
      </c>
      <c r="Z31" s="16">
        <v>0</v>
      </c>
      <c r="AA31" s="16">
        <v>281.75939631145599</v>
      </c>
      <c r="AB31" s="16">
        <v>0</v>
      </c>
      <c r="AC31" s="16">
        <v>103748.224966486</v>
      </c>
      <c r="AD31" s="17">
        <v>3.75732778223891E-10</v>
      </c>
      <c r="AE31" s="18">
        <v>8.0641511415525091</v>
      </c>
      <c r="AF31" s="16">
        <v>5510073.1919999998</v>
      </c>
      <c r="AG31" s="16">
        <v>4960188.3017142797</v>
      </c>
      <c r="AH31" s="16">
        <v>0</v>
      </c>
      <c r="AI31" s="16">
        <v>102904.922870045</v>
      </c>
      <c r="AJ31" s="16">
        <v>58445061.3908571</v>
      </c>
      <c r="AK31" s="16">
        <v>52934431.056000002</v>
      </c>
      <c r="AL31" s="14" t="e" cm="1">
        <f t="array" ref="AL31">IF(SUMPRODUCT((C31&gt;=C$2:C$37)*(D31&gt;=D$2:D$37)*(E31&gt;=E$2:E$37)*(#REF!&gt;=#REF!)*(F31&gt;=F$2:F$37)*(ROW(C$2:C$37)&lt;&gt;ROW()))&gt;0,1,0)</f>
        <v>#REF!</v>
      </c>
      <c r="AM31" s="14">
        <v>0</v>
      </c>
    </row>
    <row r="32" spans="1:39" x14ac:dyDescent="0.3">
      <c r="A32" s="5" t="s">
        <v>85</v>
      </c>
      <c r="B32" s="5">
        <v>1800</v>
      </c>
      <c r="C32" s="5">
        <v>900</v>
      </c>
      <c r="D32" s="5">
        <v>300</v>
      </c>
      <c r="E32" s="5">
        <v>400</v>
      </c>
      <c r="F32" s="6">
        <v>44.876197574587003</v>
      </c>
      <c r="G32" s="10">
        <v>4.6369117099601995</v>
      </c>
      <c r="H32" s="10">
        <v>6.9605386986301303</v>
      </c>
      <c r="I32" s="5">
        <v>100</v>
      </c>
      <c r="J32" s="6">
        <v>45.087839691428499</v>
      </c>
      <c r="K32" s="5">
        <f t="shared" si="0"/>
        <v>45.087839691428499</v>
      </c>
      <c r="L32" s="14">
        <v>3585599.4190615602</v>
      </c>
      <c r="M32" s="14">
        <v>1620000</v>
      </c>
      <c r="N32" s="14">
        <v>720000</v>
      </c>
      <c r="O32" s="14">
        <v>565599.41906156705</v>
      </c>
      <c r="P32" s="14">
        <v>440000</v>
      </c>
      <c r="Q32" s="14">
        <v>240000</v>
      </c>
      <c r="R32" s="14">
        <v>854892.56789805496</v>
      </c>
      <c r="S32" s="14">
        <v>11311.9883812313</v>
      </c>
      <c r="T32" s="14">
        <v>24300</v>
      </c>
      <c r="U32" s="14">
        <v>1200</v>
      </c>
      <c r="V32" s="14">
        <v>14400</v>
      </c>
      <c r="W32" s="14">
        <v>4400</v>
      </c>
      <c r="X32" s="14">
        <v>0</v>
      </c>
      <c r="Y32" s="14">
        <v>196139.10824208101</v>
      </c>
      <c r="Z32" s="14">
        <v>0</v>
      </c>
      <c r="AA32" s="14">
        <v>280.61475849716601</v>
      </c>
      <c r="AB32" s="14">
        <v>0</v>
      </c>
      <c r="AC32" s="14">
        <v>103326.75138648599</v>
      </c>
      <c r="AD32" s="15">
        <v>8.5796607913429006E-11</v>
      </c>
      <c r="AE32" s="14">
        <v>6.9605386986301303</v>
      </c>
      <c r="AF32" s="14">
        <v>5487688.71</v>
      </c>
      <c r="AG32" s="14">
        <v>4417200.66857142</v>
      </c>
      <c r="AH32" s="14">
        <v>0</v>
      </c>
      <c r="AI32" s="14">
        <v>102904.922870045</v>
      </c>
      <c r="AJ32" s="14">
        <v>50577456.972857103</v>
      </c>
      <c r="AK32" s="14">
        <v>45087839.691428497</v>
      </c>
      <c r="AL32" s="14" t="e" cm="1">
        <f t="array" ref="AL32">IF(SUMPRODUCT((C32&gt;=C$2:C$37)*(D32&gt;=D$2:D$37)*(E32&gt;=E$2:E$37)*(#REF!&gt;=#REF!)*(F32&gt;=F$2:F$37)*(ROW(C$2:C$37)&lt;&gt;ROW()))&gt;0,1,0)</f>
        <v>#REF!</v>
      </c>
      <c r="AM32" s="14">
        <v>0</v>
      </c>
    </row>
    <row r="33" spans="1:39" x14ac:dyDescent="0.3">
      <c r="A33" s="5" t="s">
        <v>86</v>
      </c>
      <c r="B33" s="5">
        <v>2400</v>
      </c>
      <c r="C33" s="5">
        <v>300</v>
      </c>
      <c r="D33" s="5">
        <v>300</v>
      </c>
      <c r="E33" s="5">
        <v>400</v>
      </c>
      <c r="F33" s="6">
        <v>45.236477235509</v>
      </c>
      <c r="G33" s="10">
        <v>4.67385301629648</v>
      </c>
      <c r="H33" s="10">
        <v>6.9601139595564199</v>
      </c>
      <c r="I33" s="5">
        <v>100</v>
      </c>
      <c r="J33" s="6">
        <v>61.948612594285699</v>
      </c>
      <c r="K33" s="5">
        <f t="shared" si="0"/>
        <v>61.948612594285699</v>
      </c>
      <c r="L33" s="14">
        <v>3645599.4190615602</v>
      </c>
      <c r="M33" s="14">
        <v>2160000</v>
      </c>
      <c r="N33" s="14">
        <v>240000</v>
      </c>
      <c r="O33" s="14">
        <v>565599.41906156705</v>
      </c>
      <c r="P33" s="14">
        <v>440000</v>
      </c>
      <c r="Q33" s="14">
        <v>240000</v>
      </c>
      <c r="R33" s="14">
        <v>831833.89135773096</v>
      </c>
      <c r="S33" s="14">
        <v>11311.9883812313</v>
      </c>
      <c r="T33" s="14">
        <v>32400</v>
      </c>
      <c r="U33" s="14">
        <v>1200</v>
      </c>
      <c r="V33" s="14">
        <v>4800</v>
      </c>
      <c r="W33" s="14">
        <v>4400</v>
      </c>
      <c r="X33" s="14">
        <v>0</v>
      </c>
      <c r="Y33" s="14">
        <v>196139.10824208101</v>
      </c>
      <c r="Z33" s="14">
        <v>0</v>
      </c>
      <c r="AA33" s="14">
        <v>280.59763510230403</v>
      </c>
      <c r="AB33" s="14">
        <v>0</v>
      </c>
      <c r="AC33" s="14">
        <v>103320.446284169</v>
      </c>
      <c r="AD33" s="15">
        <v>8.2695755005650905E-11</v>
      </c>
      <c r="AE33" s="14">
        <v>6.9601139595564199</v>
      </c>
      <c r="AF33" s="14">
        <v>5487353.8457142804</v>
      </c>
      <c r="AG33" s="14">
        <v>4961316.5485714199</v>
      </c>
      <c r="AH33" s="14">
        <v>0</v>
      </c>
      <c r="AI33" s="14">
        <v>102904.922870045</v>
      </c>
      <c r="AJ33" s="14">
        <v>67436609.297142804</v>
      </c>
      <c r="AK33" s="14">
        <v>61948612.594285697</v>
      </c>
      <c r="AL33" s="14" t="e" cm="1">
        <f t="array" ref="AL33">IF(SUMPRODUCT((C33&gt;=C$2:C$37)*(D33&gt;=D$2:D$37)*(E33&gt;=E$2:E$37)*(#REF!&gt;=#REF!)*(F33&gt;=F$2:F$37)*(ROW(C$2:C$37)&lt;&gt;ROW()))&gt;0,1,0)</f>
        <v>#REF!</v>
      </c>
      <c r="AM33" s="14">
        <v>0</v>
      </c>
    </row>
    <row r="34" spans="1:39" x14ac:dyDescent="0.3">
      <c r="A34" s="5" t="s">
        <v>87</v>
      </c>
      <c r="B34" s="5">
        <v>2080</v>
      </c>
      <c r="C34" s="5">
        <v>780</v>
      </c>
      <c r="D34" s="5">
        <v>260</v>
      </c>
      <c r="E34" s="5">
        <v>400</v>
      </c>
      <c r="F34" s="6">
        <v>45.743147513229303</v>
      </c>
      <c r="G34" s="10">
        <v>4.7261450211195495</v>
      </c>
      <c r="H34" s="10">
        <v>8.0308031963470299</v>
      </c>
      <c r="I34" s="5">
        <v>100</v>
      </c>
      <c r="J34" s="6">
        <v>52.956102754285702</v>
      </c>
      <c r="K34" s="5">
        <f t="shared" si="0"/>
        <v>52.956102754285702</v>
      </c>
      <c r="L34" s="14">
        <v>3683953.6089434801</v>
      </c>
      <c r="M34" s="14">
        <v>1872000</v>
      </c>
      <c r="N34" s="14">
        <v>624000</v>
      </c>
      <c r="O34" s="14">
        <v>507953.60894348501</v>
      </c>
      <c r="P34" s="14">
        <v>440000</v>
      </c>
      <c r="Q34" s="14">
        <v>240000</v>
      </c>
      <c r="R34" s="14">
        <v>865762.17894915398</v>
      </c>
      <c r="S34" s="14">
        <v>10159.072178869699</v>
      </c>
      <c r="T34" s="14">
        <v>28080</v>
      </c>
      <c r="U34" s="14">
        <v>1200</v>
      </c>
      <c r="V34" s="14">
        <v>12480</v>
      </c>
      <c r="W34" s="14">
        <v>4400</v>
      </c>
      <c r="X34" s="14">
        <v>0</v>
      </c>
      <c r="Y34" s="14">
        <v>176148.638999357</v>
      </c>
      <c r="Z34" s="14">
        <v>0</v>
      </c>
      <c r="AA34" s="14">
        <v>280.59422756097098</v>
      </c>
      <c r="AB34" s="14">
        <v>0</v>
      </c>
      <c r="AC34" s="14">
        <v>103319.191574054</v>
      </c>
      <c r="AD34" s="15">
        <v>5.3368738000309702E-11</v>
      </c>
      <c r="AE34" s="14">
        <v>8.0308031963470299</v>
      </c>
      <c r="AF34" s="14">
        <v>5487287.2079999996</v>
      </c>
      <c r="AG34" s="14">
        <v>4361665.3302857103</v>
      </c>
      <c r="AH34" s="14">
        <v>0</v>
      </c>
      <c r="AI34" s="14">
        <v>102904.922870045</v>
      </c>
      <c r="AJ34" s="14">
        <v>58445061.3908571</v>
      </c>
      <c r="AK34" s="14">
        <v>52956102.754285701</v>
      </c>
      <c r="AL34" s="14" t="e" cm="1">
        <f t="array" ref="AL34">IF(SUMPRODUCT((C34&gt;=C$2:C$37)*(D34&gt;=D$2:D$37)*(E34&gt;=E$2:E$37)*(#REF!&gt;=#REF!)*(F34&gt;=F$2:F$37)*(ROW(C$2:C$37)&lt;&gt;ROW()))&gt;0,1,0)</f>
        <v>#REF!</v>
      </c>
      <c r="AM34" s="14">
        <v>0</v>
      </c>
    </row>
    <row r="35" spans="1:39" x14ac:dyDescent="0.3">
      <c r="A35" s="5" t="s">
        <v>88</v>
      </c>
      <c r="B35" s="5">
        <v>1520</v>
      </c>
      <c r="C35" s="5">
        <v>1140</v>
      </c>
      <c r="D35" s="5">
        <v>380</v>
      </c>
      <c r="E35" s="5">
        <v>400</v>
      </c>
      <c r="F35" s="6">
        <v>46.078133909028701</v>
      </c>
      <c r="G35" s="10">
        <v>4.7612728206071306</v>
      </c>
      <c r="H35" s="10">
        <v>5.4953571102413497</v>
      </c>
      <c r="I35" s="5">
        <v>100</v>
      </c>
      <c r="J35" s="6">
        <v>37.219526273142797</v>
      </c>
      <c r="K35" s="5">
        <f t="shared" si="0"/>
        <v>37.219526273142797</v>
      </c>
      <c r="L35" s="14">
        <v>3636490.1392375999</v>
      </c>
      <c r="M35" s="14">
        <v>1368000</v>
      </c>
      <c r="N35" s="14">
        <v>912000</v>
      </c>
      <c r="O35" s="14">
        <v>676490.13923760003</v>
      </c>
      <c r="P35" s="14">
        <v>440000</v>
      </c>
      <c r="Q35" s="14">
        <v>240000</v>
      </c>
      <c r="R35" s="14">
        <v>889908.15826450498</v>
      </c>
      <c r="S35" s="14">
        <v>13529.802784752001</v>
      </c>
      <c r="T35" s="14">
        <v>20520</v>
      </c>
      <c r="U35" s="14">
        <v>1200</v>
      </c>
      <c r="V35" s="14">
        <v>18240</v>
      </c>
      <c r="W35" s="14">
        <v>4400</v>
      </c>
      <c r="X35" s="14">
        <v>0</v>
      </c>
      <c r="Y35" s="14">
        <v>234593.89838973799</v>
      </c>
      <c r="Z35" s="14">
        <v>0</v>
      </c>
      <c r="AA35" s="14">
        <v>280.624715290513</v>
      </c>
      <c r="AB35" s="14">
        <v>0</v>
      </c>
      <c r="AC35" s="14">
        <v>103330.417633822</v>
      </c>
      <c r="AD35" s="15">
        <v>1.6044356319712599E-10</v>
      </c>
      <c r="AE35" s="14">
        <v>5.4953571102413497</v>
      </c>
      <c r="AF35" s="14">
        <v>5487883.4245714201</v>
      </c>
      <c r="AG35" s="14">
        <v>4396334.0108571397</v>
      </c>
      <c r="AH35" s="14">
        <v>0</v>
      </c>
      <c r="AI35" s="14">
        <v>102904.922870045</v>
      </c>
      <c r="AJ35" s="14">
        <v>42709852.554857098</v>
      </c>
      <c r="AK35" s="14">
        <v>37219526.2731428</v>
      </c>
      <c r="AL35" s="14" t="e" cm="1">
        <f t="array" ref="AL35">IF(SUMPRODUCT((C35&gt;=C$2:C$37)*(D35&gt;=D$2:D$37)*(E35&gt;=E$2:E$37)*(#REF!&gt;=#REF!)*(F35&gt;=F$2:F$37)*(ROW(C$2:C$37)&lt;&gt;ROW()))&gt;0,1,0)</f>
        <v>#REF!</v>
      </c>
      <c r="AM35" s="14">
        <v>0</v>
      </c>
    </row>
    <row r="36" spans="1:39" x14ac:dyDescent="0.3">
      <c r="A36" s="5" t="s">
        <v>89</v>
      </c>
      <c r="B36" s="5">
        <v>3040</v>
      </c>
      <c r="C36" s="5">
        <v>1520</v>
      </c>
      <c r="D36" s="5">
        <v>380</v>
      </c>
      <c r="E36" s="5">
        <v>200</v>
      </c>
      <c r="F36" s="6">
        <v>64.034243411453303</v>
      </c>
      <c r="G36" s="10">
        <v>6.5883594243230297</v>
      </c>
      <c r="H36" s="10">
        <v>5.4718317677756003</v>
      </c>
      <c r="I36" s="5">
        <v>100</v>
      </c>
      <c r="J36" s="6">
        <v>79.952057890285701</v>
      </c>
      <c r="K36" s="5">
        <f t="shared" si="0"/>
        <v>79.952057890285701</v>
      </c>
      <c r="L36" s="14">
        <v>5088490.1392376004</v>
      </c>
      <c r="M36" s="14">
        <v>2736000</v>
      </c>
      <c r="N36" s="14">
        <v>1216000</v>
      </c>
      <c r="O36" s="14">
        <v>676490.13923760003</v>
      </c>
      <c r="P36" s="14">
        <v>220000</v>
      </c>
      <c r="Q36" s="14">
        <v>240000</v>
      </c>
      <c r="R36" s="14">
        <v>1264995.9633204399</v>
      </c>
      <c r="S36" s="14">
        <v>13529.802784752001</v>
      </c>
      <c r="T36" s="14">
        <v>41040</v>
      </c>
      <c r="U36" s="14">
        <v>1200</v>
      </c>
      <c r="V36" s="14">
        <v>24320</v>
      </c>
      <c r="W36" s="14">
        <v>2200</v>
      </c>
      <c r="X36" s="14">
        <v>0</v>
      </c>
      <c r="Y36" s="14">
        <v>234593.89838973799</v>
      </c>
      <c r="Z36" s="14">
        <v>0</v>
      </c>
      <c r="AA36" s="14">
        <v>279.42337525034299</v>
      </c>
      <c r="AB36" s="14">
        <v>0</v>
      </c>
      <c r="AC36" s="14">
        <v>102888.06540571401</v>
      </c>
      <c r="AD36" s="15">
        <v>7.1557046002875904E-12</v>
      </c>
      <c r="AE36" s="14">
        <v>5.4718317677756003</v>
      </c>
      <c r="AF36" s="14">
        <v>5464390.0765714198</v>
      </c>
      <c r="AG36" s="14">
        <v>4599489.2742857104</v>
      </c>
      <c r="AH36" s="14">
        <v>0</v>
      </c>
      <c r="AI36" s="14">
        <v>102904.922870045</v>
      </c>
      <c r="AJ36" s="14">
        <v>85419705.109714195</v>
      </c>
      <c r="AK36" s="14">
        <v>79952057.890285701</v>
      </c>
      <c r="AL36" s="14" t="e" cm="1">
        <f t="array" ref="AL36">IF(SUMPRODUCT((C36&gt;=C$2:C$37)*(D36&gt;=D$2:D$37)*(E36&gt;=E$2:E$37)*(#REF!&gt;=#REF!)*(F36&gt;=F$2:F$37)*(ROW(C$2:C$37)&lt;&gt;ROW()))&gt;0,1,0)</f>
        <v>#REF!</v>
      </c>
      <c r="AM36" s="14">
        <v>0</v>
      </c>
    </row>
    <row r="37" spans="1:39" x14ac:dyDescent="0.3">
      <c r="A37" s="5" t="s">
        <v>90</v>
      </c>
      <c r="B37" s="5">
        <v>3360</v>
      </c>
      <c r="C37" s="5">
        <v>1260</v>
      </c>
      <c r="D37" s="5">
        <v>420</v>
      </c>
      <c r="E37" s="5">
        <v>200</v>
      </c>
      <c r="F37" s="6">
        <v>65.691326786485206</v>
      </c>
      <c r="G37" s="10">
        <v>6.7596142784173399</v>
      </c>
      <c r="H37" s="10">
        <v>4.9512621656881901</v>
      </c>
      <c r="I37" s="5">
        <v>100</v>
      </c>
      <c r="J37" s="6">
        <v>88.943547887999998</v>
      </c>
      <c r="K37" s="5">
        <f t="shared" si="0"/>
        <v>88.943547887999998</v>
      </c>
      <c r="L37" s="14">
        <v>5222167.8210864896</v>
      </c>
      <c r="M37" s="14">
        <v>3024000</v>
      </c>
      <c r="N37" s="14">
        <v>1008000</v>
      </c>
      <c r="O37" s="14">
        <v>730167.82108649402</v>
      </c>
      <c r="P37" s="14">
        <v>220000</v>
      </c>
      <c r="Q37" s="14">
        <v>240000</v>
      </c>
      <c r="R37" s="14">
        <v>1283958.70619392</v>
      </c>
      <c r="S37" s="14">
        <v>14603.356421729801</v>
      </c>
      <c r="T37" s="14">
        <v>45360</v>
      </c>
      <c r="U37" s="14">
        <v>1200</v>
      </c>
      <c r="V37" s="14">
        <v>20160</v>
      </c>
      <c r="W37" s="14">
        <v>2200</v>
      </c>
      <c r="X37" s="14">
        <v>0</v>
      </c>
      <c r="Y37" s="14">
        <v>253208.29631081899</v>
      </c>
      <c r="Z37" s="14">
        <v>0</v>
      </c>
      <c r="AA37" s="14">
        <v>279.45482610647099</v>
      </c>
      <c r="AB37" s="14">
        <v>0</v>
      </c>
      <c r="AC37" s="14">
        <v>102899.646103783</v>
      </c>
      <c r="AD37" s="15">
        <v>1.7709167465795801E-11</v>
      </c>
      <c r="AE37" s="14">
        <v>4.9512621656881901</v>
      </c>
      <c r="AF37" s="14">
        <v>5465005.1279999996</v>
      </c>
      <c r="AG37" s="14">
        <v>4690549.1519999998</v>
      </c>
      <c r="AH37" s="14">
        <v>0</v>
      </c>
      <c r="AI37" s="14">
        <v>102904.922870045</v>
      </c>
      <c r="AJ37" s="14">
        <v>94411253.016000003</v>
      </c>
      <c r="AK37" s="14">
        <v>88943547.887999997</v>
      </c>
      <c r="AL37" s="14" t="e" cm="1">
        <f t="array" ref="AL37">IF(SUMPRODUCT((C37&gt;=C$2:C$37)*(D37&gt;=D$2:D$37)*(E37&gt;=E$2:E$37)*(#REF!&gt;=#REF!)*(F37&gt;=F$2:F$37)*(ROW(C$2:C$37)&lt;&gt;ROW()))&gt;0,1,0)</f>
        <v>#REF!</v>
      </c>
      <c r="AM37" s="14">
        <v>0</v>
      </c>
    </row>
    <row r="38" spans="1:39" x14ac:dyDescent="0.3">
      <c r="AE38" s="15"/>
    </row>
    <row r="39" spans="1:39" x14ac:dyDescent="0.3">
      <c r="AE39" s="15"/>
    </row>
    <row r="40" spans="1:39" x14ac:dyDescent="0.3">
      <c r="AE40" s="15"/>
    </row>
    <row r="41" spans="1:39" x14ac:dyDescent="0.3">
      <c r="AE41" s="15"/>
    </row>
    <row r="42" spans="1:39" x14ac:dyDescent="0.3">
      <c r="S42" s="15"/>
    </row>
    <row r="43" spans="1:39" x14ac:dyDescent="0.3">
      <c r="S43" s="15"/>
    </row>
    <row r="44" spans="1:39" x14ac:dyDescent="0.3">
      <c r="R44" s="15"/>
    </row>
    <row r="45" spans="1:39" x14ac:dyDescent="0.3">
      <c r="R45" s="15"/>
    </row>
    <row r="46" spans="1:39" x14ac:dyDescent="0.3">
      <c r="R46" s="15"/>
    </row>
    <row r="47" spans="1:39" x14ac:dyDescent="0.3">
      <c r="R47" s="15"/>
    </row>
    <row r="48" spans="1:39" x14ac:dyDescent="0.3">
      <c r="R48" s="15"/>
    </row>
    <row r="49" spans="18:31" x14ac:dyDescent="0.3">
      <c r="R49" s="15"/>
    </row>
    <row r="50" spans="18:31" x14ac:dyDescent="0.3">
      <c r="R50" s="15"/>
    </row>
    <row r="51" spans="18:31" x14ac:dyDescent="0.3">
      <c r="AD51" s="15"/>
    </row>
    <row r="52" spans="18:31" x14ac:dyDescent="0.3">
      <c r="AD52" s="15"/>
    </row>
    <row r="53" spans="18:31" x14ac:dyDescent="0.3">
      <c r="AD53" s="15"/>
    </row>
    <row r="54" spans="18:31" x14ac:dyDescent="0.3">
      <c r="AD54" s="15"/>
    </row>
    <row r="55" spans="18:31" x14ac:dyDescent="0.3">
      <c r="AD55" s="15"/>
    </row>
    <row r="56" spans="18:31" x14ac:dyDescent="0.3">
      <c r="AD56" s="15"/>
    </row>
    <row r="57" spans="18:31" x14ac:dyDescent="0.3">
      <c r="AD57" s="15"/>
    </row>
    <row r="58" spans="18:31" x14ac:dyDescent="0.3">
      <c r="AD58" s="15"/>
    </row>
    <row r="59" spans="18:31" x14ac:dyDescent="0.3">
      <c r="AD59" s="15"/>
    </row>
    <row r="60" spans="18:31" x14ac:dyDescent="0.3">
      <c r="AE60" s="15"/>
    </row>
    <row r="61" spans="18:31" x14ac:dyDescent="0.3">
      <c r="AE61" s="15"/>
    </row>
    <row r="62" spans="18:31" x14ac:dyDescent="0.3">
      <c r="AE62" s="15"/>
    </row>
    <row r="63" spans="18:31" x14ac:dyDescent="0.3">
      <c r="AE63" s="15"/>
    </row>
    <row r="64" spans="18:31" x14ac:dyDescent="0.3">
      <c r="AE64" s="15"/>
    </row>
    <row r="65" spans="31:31" x14ac:dyDescent="0.3">
      <c r="AE65" s="15"/>
    </row>
    <row r="66" spans="31:31" x14ac:dyDescent="0.3">
      <c r="AE66" s="15"/>
    </row>
    <row r="67" spans="31:31" x14ac:dyDescent="0.3">
      <c r="AE67" s="15"/>
    </row>
    <row r="68" spans="31:31" x14ac:dyDescent="0.3">
      <c r="AE68" s="15"/>
    </row>
    <row r="69" spans="31:31" x14ac:dyDescent="0.3">
      <c r="AE69" s="15"/>
    </row>
    <row r="70" spans="31:31" x14ac:dyDescent="0.3">
      <c r="AE70" s="15"/>
    </row>
    <row r="71" spans="31:31" x14ac:dyDescent="0.3">
      <c r="AE71" s="15"/>
    </row>
    <row r="72" spans="31:31" x14ac:dyDescent="0.3">
      <c r="AE72" s="15"/>
    </row>
    <row r="73" spans="31:31" x14ac:dyDescent="0.3">
      <c r="AE73" s="15"/>
    </row>
    <row r="74" spans="31:31" x14ac:dyDescent="0.3">
      <c r="AE74" s="15"/>
    </row>
    <row r="75" spans="31:31" x14ac:dyDescent="0.3">
      <c r="AE75" s="15"/>
    </row>
    <row r="76" spans="31:31" x14ac:dyDescent="0.3">
      <c r="AE76" s="15"/>
    </row>
    <row r="77" spans="31:31" x14ac:dyDescent="0.3">
      <c r="AE77" s="15"/>
    </row>
    <row r="78" spans="31:31" x14ac:dyDescent="0.3">
      <c r="AE78" s="15"/>
    </row>
    <row r="79" spans="31:31" x14ac:dyDescent="0.3">
      <c r="AE79" s="15"/>
    </row>
    <row r="80" spans="31:31" x14ac:dyDescent="0.3">
      <c r="AE80" s="15"/>
    </row>
    <row r="81" spans="31:31" x14ac:dyDescent="0.3">
      <c r="AE81" s="15"/>
    </row>
    <row r="82" spans="31:31" x14ac:dyDescent="0.3">
      <c r="AE82" s="15"/>
    </row>
    <row r="83" spans="31:31" x14ac:dyDescent="0.3">
      <c r="AE83" s="15"/>
    </row>
    <row r="84" spans="31:31" x14ac:dyDescent="0.3">
      <c r="AE84" s="15"/>
    </row>
    <row r="85" spans="31:31" x14ac:dyDescent="0.3">
      <c r="AE85" s="15"/>
    </row>
    <row r="86" spans="31:31" x14ac:dyDescent="0.3">
      <c r="AE86" s="15"/>
    </row>
    <row r="87" spans="31:31" x14ac:dyDescent="0.3">
      <c r="AE87" s="15"/>
    </row>
    <row r="88" spans="31:31" x14ac:dyDescent="0.3">
      <c r="AE88" s="15"/>
    </row>
    <row r="89" spans="31:31" x14ac:dyDescent="0.3">
      <c r="AE89" s="15"/>
    </row>
    <row r="90" spans="31:31" x14ac:dyDescent="0.3">
      <c r="AE90" s="15"/>
    </row>
    <row r="91" spans="31:31" x14ac:dyDescent="0.3">
      <c r="AE91" s="15"/>
    </row>
    <row r="92" spans="31:31" x14ac:dyDescent="0.3">
      <c r="AE92" s="15"/>
    </row>
    <row r="93" spans="31:31" x14ac:dyDescent="0.3">
      <c r="AE93" s="15"/>
    </row>
    <row r="94" spans="31:31" x14ac:dyDescent="0.3">
      <c r="AE94" s="15"/>
    </row>
    <row r="95" spans="31:31" x14ac:dyDescent="0.3">
      <c r="AE95" s="15"/>
    </row>
    <row r="96" spans="31:31" x14ac:dyDescent="0.3">
      <c r="AE96" s="15"/>
    </row>
    <row r="97" spans="31:31" x14ac:dyDescent="0.3">
      <c r="AE97" s="15"/>
    </row>
    <row r="98" spans="31:31" x14ac:dyDescent="0.3">
      <c r="AE98" s="15"/>
    </row>
    <row r="99" spans="31:31" x14ac:dyDescent="0.3">
      <c r="AE99" s="15"/>
    </row>
    <row r="100" spans="31:31" x14ac:dyDescent="0.3">
      <c r="AE100" s="15"/>
    </row>
    <row r="101" spans="31:31" x14ac:dyDescent="0.3">
      <c r="AE101" s="15"/>
    </row>
    <row r="102" spans="31:31" x14ac:dyDescent="0.3">
      <c r="AE102" s="15"/>
    </row>
    <row r="103" spans="31:31" x14ac:dyDescent="0.3">
      <c r="AE103" s="15"/>
    </row>
    <row r="104" spans="31:31" x14ac:dyDescent="0.3">
      <c r="AE104" s="15"/>
    </row>
    <row r="105" spans="31:31" x14ac:dyDescent="0.3">
      <c r="AE105" s="15"/>
    </row>
    <row r="106" spans="31:31" x14ac:dyDescent="0.3">
      <c r="AE106" s="15"/>
    </row>
    <row r="107" spans="31:31" x14ac:dyDescent="0.3">
      <c r="AE107" s="15"/>
    </row>
    <row r="108" spans="31:31" x14ac:dyDescent="0.3">
      <c r="AE108" s="15"/>
    </row>
    <row r="109" spans="31:31" x14ac:dyDescent="0.3">
      <c r="AE109" s="15"/>
    </row>
    <row r="110" spans="31:31" x14ac:dyDescent="0.3">
      <c r="AE110" s="15"/>
    </row>
    <row r="111" spans="31:31" x14ac:dyDescent="0.3">
      <c r="AE111" s="15"/>
    </row>
    <row r="112" spans="31:31" x14ac:dyDescent="0.3">
      <c r="AE112" s="15"/>
    </row>
    <row r="113" spans="31:31" x14ac:dyDescent="0.3">
      <c r="AE113" s="15"/>
    </row>
    <row r="114" spans="31:31" x14ac:dyDescent="0.3">
      <c r="AE114" s="15"/>
    </row>
    <row r="115" spans="31:31" x14ac:dyDescent="0.3">
      <c r="AE115" s="15"/>
    </row>
    <row r="116" spans="31:31" x14ac:dyDescent="0.3">
      <c r="AE116" s="15"/>
    </row>
    <row r="117" spans="31:31" x14ac:dyDescent="0.3">
      <c r="AE117" s="15"/>
    </row>
    <row r="118" spans="31:31" x14ac:dyDescent="0.3">
      <c r="AE118" s="15"/>
    </row>
    <row r="119" spans="31:31" x14ac:dyDescent="0.3">
      <c r="AE119" s="15"/>
    </row>
    <row r="120" spans="31:31" x14ac:dyDescent="0.3">
      <c r="AE120" s="15"/>
    </row>
    <row r="121" spans="31:31" x14ac:dyDescent="0.3">
      <c r="AE121" s="15"/>
    </row>
    <row r="122" spans="31:31" x14ac:dyDescent="0.3">
      <c r="AE122" s="15"/>
    </row>
    <row r="123" spans="31:31" x14ac:dyDescent="0.3">
      <c r="AE123" s="15"/>
    </row>
    <row r="124" spans="31:31" x14ac:dyDescent="0.3">
      <c r="AE124" s="15"/>
    </row>
    <row r="125" spans="31:31" x14ac:dyDescent="0.3">
      <c r="AE125" s="15"/>
    </row>
    <row r="126" spans="31:31" x14ac:dyDescent="0.3">
      <c r="AE126" s="15"/>
    </row>
    <row r="127" spans="31:31" x14ac:dyDescent="0.3">
      <c r="AE127" s="15"/>
    </row>
    <row r="128" spans="31:31" x14ac:dyDescent="0.3">
      <c r="AE128" s="15"/>
    </row>
    <row r="129" spans="31:31" x14ac:dyDescent="0.3">
      <c r="AE129" s="15"/>
    </row>
    <row r="130" spans="31:31" x14ac:dyDescent="0.3">
      <c r="AE130" s="15"/>
    </row>
    <row r="131" spans="31:31" x14ac:dyDescent="0.3">
      <c r="AE131" s="15"/>
    </row>
    <row r="132" spans="31:31" x14ac:dyDescent="0.3">
      <c r="AE132" s="15"/>
    </row>
    <row r="133" spans="31:31" x14ac:dyDescent="0.3">
      <c r="AE133" s="15"/>
    </row>
    <row r="134" spans="31:31" x14ac:dyDescent="0.3">
      <c r="AE134" s="15"/>
    </row>
    <row r="135" spans="31:31" x14ac:dyDescent="0.3">
      <c r="AE135" s="15"/>
    </row>
    <row r="136" spans="31:31" x14ac:dyDescent="0.3">
      <c r="AE136" s="15"/>
    </row>
    <row r="137" spans="31:31" x14ac:dyDescent="0.3">
      <c r="AE137" s="15"/>
    </row>
    <row r="138" spans="31:31" x14ac:dyDescent="0.3">
      <c r="AE138" s="15"/>
    </row>
    <row r="139" spans="31:31" x14ac:dyDescent="0.3">
      <c r="AE139" s="15"/>
    </row>
    <row r="140" spans="31:31" x14ac:dyDescent="0.3">
      <c r="AE140" s="15"/>
    </row>
    <row r="141" spans="31:31" x14ac:dyDescent="0.3">
      <c r="AE141" s="15"/>
    </row>
    <row r="142" spans="31:31" x14ac:dyDescent="0.3">
      <c r="AE142" s="15"/>
    </row>
    <row r="143" spans="31:31" x14ac:dyDescent="0.3">
      <c r="AE143" s="15"/>
    </row>
    <row r="144" spans="31:31" x14ac:dyDescent="0.3">
      <c r="AE144" s="15"/>
    </row>
    <row r="145" spans="31:31" x14ac:dyDescent="0.3">
      <c r="AE145" s="15"/>
    </row>
    <row r="146" spans="31:31" x14ac:dyDescent="0.3">
      <c r="AE146" s="15"/>
    </row>
    <row r="147" spans="31:31" x14ac:dyDescent="0.3">
      <c r="AE147" s="15"/>
    </row>
    <row r="148" spans="31:31" x14ac:dyDescent="0.3">
      <c r="AE148" s="15"/>
    </row>
    <row r="149" spans="31:31" x14ac:dyDescent="0.3">
      <c r="AE149" s="15"/>
    </row>
    <row r="150" spans="31:31" x14ac:dyDescent="0.3">
      <c r="AE150" s="15"/>
    </row>
    <row r="151" spans="31:31" x14ac:dyDescent="0.3">
      <c r="AE151" s="15"/>
    </row>
    <row r="152" spans="31:31" x14ac:dyDescent="0.3">
      <c r="AE152" s="15"/>
    </row>
    <row r="153" spans="31:31" x14ac:dyDescent="0.3">
      <c r="AE153" s="15"/>
    </row>
    <row r="154" spans="31:31" x14ac:dyDescent="0.3">
      <c r="AE154" s="15"/>
    </row>
    <row r="155" spans="31:31" x14ac:dyDescent="0.3">
      <c r="AE155" s="15"/>
    </row>
    <row r="156" spans="31:31" x14ac:dyDescent="0.3">
      <c r="AE156" s="15"/>
    </row>
    <row r="157" spans="31:31" x14ac:dyDescent="0.3">
      <c r="AE157" s="15"/>
    </row>
    <row r="158" spans="31:31" x14ac:dyDescent="0.3">
      <c r="AE158" s="15"/>
    </row>
    <row r="159" spans="31:31" x14ac:dyDescent="0.3">
      <c r="AE159" s="15"/>
    </row>
    <row r="160" spans="31:31" x14ac:dyDescent="0.3">
      <c r="AE160" s="15"/>
    </row>
    <row r="161" spans="31:31" x14ac:dyDescent="0.3">
      <c r="AE161" s="15"/>
    </row>
    <row r="162" spans="31:31" x14ac:dyDescent="0.3">
      <c r="AE162" s="15"/>
    </row>
    <row r="163" spans="31:31" x14ac:dyDescent="0.3">
      <c r="AE163" s="15"/>
    </row>
    <row r="164" spans="31:31" x14ac:dyDescent="0.3">
      <c r="AE164" s="15"/>
    </row>
    <row r="165" spans="31:31" x14ac:dyDescent="0.3">
      <c r="AE165" s="15"/>
    </row>
    <row r="166" spans="31:31" x14ac:dyDescent="0.3">
      <c r="AE166" s="15"/>
    </row>
    <row r="167" spans="31:31" x14ac:dyDescent="0.3">
      <c r="AE167" s="15"/>
    </row>
    <row r="168" spans="31:31" x14ac:dyDescent="0.3">
      <c r="AE168" s="15"/>
    </row>
    <row r="169" spans="31:31" x14ac:dyDescent="0.3">
      <c r="AE169" s="15"/>
    </row>
    <row r="170" spans="31:31" x14ac:dyDescent="0.3">
      <c r="AE170" s="15"/>
    </row>
    <row r="171" spans="31:31" x14ac:dyDescent="0.3">
      <c r="AE171" s="15"/>
    </row>
    <row r="172" spans="31:31" x14ac:dyDescent="0.3">
      <c r="AE172" s="15"/>
    </row>
    <row r="173" spans="31:31" x14ac:dyDescent="0.3">
      <c r="AE173" s="15"/>
    </row>
    <row r="174" spans="31:31" x14ac:dyDescent="0.3">
      <c r="AE174" s="15"/>
    </row>
    <row r="175" spans="31:31" x14ac:dyDescent="0.3">
      <c r="AE175" s="15"/>
    </row>
    <row r="176" spans="31:31" x14ac:dyDescent="0.3">
      <c r="AE176" s="15"/>
    </row>
    <row r="177" spans="31:31" x14ac:dyDescent="0.3">
      <c r="AE177" s="15"/>
    </row>
    <row r="178" spans="31:31" x14ac:dyDescent="0.3">
      <c r="AE178" s="15"/>
    </row>
    <row r="179" spans="31:31" x14ac:dyDescent="0.3">
      <c r="AE179" s="15"/>
    </row>
    <row r="180" spans="31:31" x14ac:dyDescent="0.3">
      <c r="AE180" s="15"/>
    </row>
    <row r="181" spans="31:31" x14ac:dyDescent="0.3">
      <c r="AE181" s="15"/>
    </row>
    <row r="182" spans="31:31" x14ac:dyDescent="0.3">
      <c r="AE182" s="15"/>
    </row>
    <row r="183" spans="31:31" x14ac:dyDescent="0.3">
      <c r="AE183" s="15"/>
    </row>
    <row r="184" spans="31:31" x14ac:dyDescent="0.3">
      <c r="AE184" s="15"/>
    </row>
    <row r="185" spans="31:31" x14ac:dyDescent="0.3">
      <c r="AE185" s="15"/>
    </row>
    <row r="186" spans="31:31" x14ac:dyDescent="0.3">
      <c r="AE186" s="15"/>
    </row>
    <row r="187" spans="31:31" x14ac:dyDescent="0.3">
      <c r="AE187" s="15"/>
    </row>
    <row r="188" spans="31:31" x14ac:dyDescent="0.3">
      <c r="AE188" s="15"/>
    </row>
    <row r="189" spans="31:31" x14ac:dyDescent="0.3">
      <c r="AE189" s="15"/>
    </row>
    <row r="190" spans="31:31" x14ac:dyDescent="0.3">
      <c r="AE190" s="15"/>
    </row>
    <row r="191" spans="31:31" x14ac:dyDescent="0.3">
      <c r="AE191" s="15"/>
    </row>
    <row r="192" spans="31:31" x14ac:dyDescent="0.3">
      <c r="AE192" s="15"/>
    </row>
    <row r="193" spans="31:31" x14ac:dyDescent="0.3">
      <c r="AE193" s="15"/>
    </row>
    <row r="194" spans="31:31" x14ac:dyDescent="0.3">
      <c r="AE194" s="15"/>
    </row>
    <row r="195" spans="31:31" x14ac:dyDescent="0.3">
      <c r="AE195" s="15"/>
    </row>
    <row r="196" spans="31:31" x14ac:dyDescent="0.3">
      <c r="AE196" s="15"/>
    </row>
    <row r="197" spans="31:31" x14ac:dyDescent="0.3">
      <c r="AE197" s="15"/>
    </row>
    <row r="198" spans="31:31" x14ac:dyDescent="0.3">
      <c r="AE198" s="15"/>
    </row>
    <row r="199" spans="31:31" x14ac:dyDescent="0.3">
      <c r="AE199" s="15"/>
    </row>
    <row r="200" spans="31:31" x14ac:dyDescent="0.3">
      <c r="AE200" s="15"/>
    </row>
    <row r="201" spans="31:31" x14ac:dyDescent="0.3">
      <c r="AE201" s="15"/>
    </row>
    <row r="202" spans="31:31" x14ac:dyDescent="0.3">
      <c r="AE202" s="15"/>
    </row>
    <row r="203" spans="31:31" x14ac:dyDescent="0.3">
      <c r="AE203" s="15"/>
    </row>
    <row r="204" spans="31:31" x14ac:dyDescent="0.3">
      <c r="AE204" s="15"/>
    </row>
    <row r="205" spans="31:31" x14ac:dyDescent="0.3">
      <c r="AE205" s="15"/>
    </row>
    <row r="206" spans="31:31" x14ac:dyDescent="0.3">
      <c r="AE206" s="15"/>
    </row>
    <row r="207" spans="31:31" x14ac:dyDescent="0.3">
      <c r="AE207" s="15"/>
    </row>
    <row r="208" spans="31:31" x14ac:dyDescent="0.3">
      <c r="AE208" s="15"/>
    </row>
    <row r="209" spans="31:31" x14ac:dyDescent="0.3">
      <c r="AE209" s="15"/>
    </row>
    <row r="210" spans="31:31" x14ac:dyDescent="0.3">
      <c r="AE210" s="15"/>
    </row>
    <row r="211" spans="31:31" x14ac:dyDescent="0.3">
      <c r="AE211" s="15"/>
    </row>
    <row r="212" spans="31:31" x14ac:dyDescent="0.3">
      <c r="AE212" s="15"/>
    </row>
    <row r="213" spans="31:31" x14ac:dyDescent="0.3">
      <c r="AE213" s="15"/>
    </row>
    <row r="214" spans="31:31" x14ac:dyDescent="0.3">
      <c r="AE214" s="15"/>
    </row>
    <row r="215" spans="31:31" x14ac:dyDescent="0.3">
      <c r="AE215" s="15"/>
    </row>
    <row r="216" spans="31:31" x14ac:dyDescent="0.3">
      <c r="AE216" s="15"/>
    </row>
    <row r="217" spans="31:31" x14ac:dyDescent="0.3">
      <c r="AE217" s="15"/>
    </row>
    <row r="218" spans="31:31" x14ac:dyDescent="0.3">
      <c r="AE218" s="15"/>
    </row>
    <row r="219" spans="31:31" x14ac:dyDescent="0.3">
      <c r="AE219" s="15"/>
    </row>
    <row r="220" spans="31:31" x14ac:dyDescent="0.3">
      <c r="AE220" s="15"/>
    </row>
    <row r="221" spans="31:31" x14ac:dyDescent="0.3">
      <c r="AE221" s="15"/>
    </row>
    <row r="222" spans="31:31" x14ac:dyDescent="0.3">
      <c r="AE222" s="15"/>
    </row>
    <row r="223" spans="31:31" x14ac:dyDescent="0.3">
      <c r="AE223" s="15"/>
    </row>
    <row r="224" spans="31:31" x14ac:dyDescent="0.3">
      <c r="AE224" s="15"/>
    </row>
    <row r="225" spans="31:31" x14ac:dyDescent="0.3">
      <c r="AE225" s="15"/>
    </row>
    <row r="226" spans="31:31" x14ac:dyDescent="0.3">
      <c r="AE226" s="15"/>
    </row>
    <row r="227" spans="31:31" x14ac:dyDescent="0.3">
      <c r="AE227" s="15"/>
    </row>
    <row r="228" spans="31:31" x14ac:dyDescent="0.3">
      <c r="AE228" s="15"/>
    </row>
    <row r="229" spans="31:31" x14ac:dyDescent="0.3">
      <c r="AE229" s="15"/>
    </row>
    <row r="230" spans="31:31" x14ac:dyDescent="0.3">
      <c r="AE230" s="15"/>
    </row>
    <row r="231" spans="31:31" x14ac:dyDescent="0.3">
      <c r="AE231" s="15"/>
    </row>
    <row r="232" spans="31:31" x14ac:dyDescent="0.3">
      <c r="AE232" s="15"/>
    </row>
    <row r="233" spans="31:31" x14ac:dyDescent="0.3">
      <c r="AE233" s="15"/>
    </row>
    <row r="234" spans="31:31" x14ac:dyDescent="0.3">
      <c r="AE234" s="15"/>
    </row>
    <row r="235" spans="31:31" x14ac:dyDescent="0.3">
      <c r="AE235" s="15"/>
    </row>
    <row r="236" spans="31:31" x14ac:dyDescent="0.3">
      <c r="AE236" s="15"/>
    </row>
    <row r="237" spans="31:31" x14ac:dyDescent="0.3">
      <c r="AE237" s="15"/>
    </row>
    <row r="238" spans="31:31" x14ac:dyDescent="0.3">
      <c r="AE238" s="15"/>
    </row>
    <row r="239" spans="31:31" x14ac:dyDescent="0.3">
      <c r="AE239" s="15"/>
    </row>
    <row r="240" spans="31:31" x14ac:dyDescent="0.3">
      <c r="AE240" s="15"/>
    </row>
    <row r="241" spans="31:31" x14ac:dyDescent="0.3">
      <c r="AE241" s="15"/>
    </row>
    <row r="242" spans="31:31" x14ac:dyDescent="0.3">
      <c r="AE242" s="15"/>
    </row>
    <row r="243" spans="31:31" x14ac:dyDescent="0.3">
      <c r="AE243" s="15"/>
    </row>
    <row r="244" spans="31:31" x14ac:dyDescent="0.3">
      <c r="AE244" s="15"/>
    </row>
    <row r="245" spans="31:31" x14ac:dyDescent="0.3">
      <c r="AE245" s="15"/>
    </row>
    <row r="246" spans="31:31" x14ac:dyDescent="0.3">
      <c r="AE246" s="15"/>
    </row>
    <row r="247" spans="31:31" x14ac:dyDescent="0.3">
      <c r="AE247" s="15"/>
    </row>
    <row r="248" spans="31:31" x14ac:dyDescent="0.3">
      <c r="AE248" s="15"/>
    </row>
    <row r="249" spans="31:31" x14ac:dyDescent="0.3">
      <c r="AE249" s="15"/>
    </row>
    <row r="250" spans="31:31" x14ac:dyDescent="0.3">
      <c r="AE250" s="15"/>
    </row>
    <row r="251" spans="31:31" x14ac:dyDescent="0.3">
      <c r="AE251" s="15"/>
    </row>
    <row r="252" spans="31:31" x14ac:dyDescent="0.3">
      <c r="AE252" s="15"/>
    </row>
    <row r="253" spans="31:31" x14ac:dyDescent="0.3">
      <c r="AE253" s="15"/>
    </row>
    <row r="254" spans="31:31" x14ac:dyDescent="0.3">
      <c r="AE254" s="15"/>
    </row>
    <row r="255" spans="31:31" x14ac:dyDescent="0.3">
      <c r="AE255" s="15"/>
    </row>
    <row r="256" spans="31:31" x14ac:dyDescent="0.3">
      <c r="AE256" s="15"/>
    </row>
    <row r="257" spans="31:31" x14ac:dyDescent="0.3">
      <c r="AE257" s="15"/>
    </row>
    <row r="258" spans="31:31" x14ac:dyDescent="0.3">
      <c r="AE258" s="15"/>
    </row>
    <row r="259" spans="31:31" x14ac:dyDescent="0.3">
      <c r="AE259" s="15"/>
    </row>
    <row r="260" spans="31:31" x14ac:dyDescent="0.3">
      <c r="AE260" s="15"/>
    </row>
    <row r="261" spans="31:31" x14ac:dyDescent="0.3">
      <c r="AE261" s="15"/>
    </row>
    <row r="262" spans="31:31" x14ac:dyDescent="0.3">
      <c r="AE262" s="15"/>
    </row>
    <row r="263" spans="31:31" x14ac:dyDescent="0.3">
      <c r="AE263" s="15"/>
    </row>
    <row r="264" spans="31:31" x14ac:dyDescent="0.3">
      <c r="AE264" s="15"/>
    </row>
    <row r="265" spans="31:31" x14ac:dyDescent="0.3">
      <c r="AE265" s="15"/>
    </row>
    <row r="266" spans="31:31" x14ac:dyDescent="0.3">
      <c r="AE266" s="15"/>
    </row>
    <row r="267" spans="31:31" x14ac:dyDescent="0.3">
      <c r="AE267" s="15"/>
    </row>
    <row r="268" spans="31:31" x14ac:dyDescent="0.3">
      <c r="AE268" s="15"/>
    </row>
    <row r="269" spans="31:31" x14ac:dyDescent="0.3">
      <c r="AE269" s="15"/>
    </row>
    <row r="270" spans="31:31" x14ac:dyDescent="0.3">
      <c r="AE270" s="15"/>
    </row>
    <row r="271" spans="31:31" x14ac:dyDescent="0.3">
      <c r="AE271" s="15"/>
    </row>
    <row r="272" spans="31:31" x14ac:dyDescent="0.3">
      <c r="AE272" s="15"/>
    </row>
    <row r="273" spans="31:31" x14ac:dyDescent="0.3">
      <c r="AE273" s="15"/>
    </row>
    <row r="274" spans="31:31" x14ac:dyDescent="0.3">
      <c r="AE274" s="15"/>
    </row>
    <row r="275" spans="31:31" x14ac:dyDescent="0.3">
      <c r="AE275" s="15"/>
    </row>
    <row r="276" spans="31:31" x14ac:dyDescent="0.3">
      <c r="AE276" s="15"/>
    </row>
    <row r="277" spans="31:31" x14ac:dyDescent="0.3">
      <c r="AE277" s="15"/>
    </row>
    <row r="278" spans="31:31" x14ac:dyDescent="0.3">
      <c r="AE278" s="15"/>
    </row>
    <row r="279" spans="31:31" x14ac:dyDescent="0.3">
      <c r="AE279" s="15"/>
    </row>
    <row r="280" spans="31:31" x14ac:dyDescent="0.3">
      <c r="AE280" s="15"/>
    </row>
    <row r="281" spans="31:31" x14ac:dyDescent="0.3">
      <c r="AE281" s="15"/>
    </row>
    <row r="282" spans="31:31" x14ac:dyDescent="0.3">
      <c r="AE282" s="15"/>
    </row>
    <row r="283" spans="31:31" x14ac:dyDescent="0.3">
      <c r="AE283" s="15"/>
    </row>
    <row r="284" spans="31:31" x14ac:dyDescent="0.3">
      <c r="AE284" s="15"/>
    </row>
    <row r="285" spans="31:31" x14ac:dyDescent="0.3">
      <c r="AE285" s="15"/>
    </row>
    <row r="286" spans="31:31" x14ac:dyDescent="0.3">
      <c r="AE286" s="15"/>
    </row>
    <row r="287" spans="31:31" x14ac:dyDescent="0.3">
      <c r="AE287" s="15"/>
    </row>
    <row r="288" spans="31:31" x14ac:dyDescent="0.3">
      <c r="AE288" s="15"/>
    </row>
    <row r="289" spans="31:31" x14ac:dyDescent="0.3">
      <c r="AE289" s="15"/>
    </row>
    <row r="290" spans="31:31" x14ac:dyDescent="0.3">
      <c r="AE290" s="15"/>
    </row>
    <row r="291" spans="31:31" x14ac:dyDescent="0.3">
      <c r="AE291" s="15"/>
    </row>
    <row r="292" spans="31:31" x14ac:dyDescent="0.3">
      <c r="AE292" s="15"/>
    </row>
    <row r="293" spans="31:31" x14ac:dyDescent="0.3">
      <c r="AE293" s="15"/>
    </row>
    <row r="294" spans="31:31" x14ac:dyDescent="0.3">
      <c r="AE294" s="15"/>
    </row>
    <row r="295" spans="31:31" x14ac:dyDescent="0.3">
      <c r="AE295" s="15"/>
    </row>
    <row r="296" spans="31:31" x14ac:dyDescent="0.3">
      <c r="AE296" s="15"/>
    </row>
    <row r="297" spans="31:31" x14ac:dyDescent="0.3">
      <c r="AE297" s="15"/>
    </row>
    <row r="298" spans="31:31" x14ac:dyDescent="0.3">
      <c r="AE298" s="15"/>
    </row>
    <row r="299" spans="31:31" x14ac:dyDescent="0.3">
      <c r="AE299" s="15"/>
    </row>
    <row r="300" spans="31:31" x14ac:dyDescent="0.3">
      <c r="AE300" s="15"/>
    </row>
    <row r="301" spans="31:31" x14ac:dyDescent="0.3">
      <c r="AE301" s="15"/>
    </row>
    <row r="302" spans="31:31" x14ac:dyDescent="0.3">
      <c r="AE302" s="15"/>
    </row>
    <row r="303" spans="31:31" x14ac:dyDescent="0.3">
      <c r="AE303" s="15"/>
    </row>
    <row r="304" spans="31:31" x14ac:dyDescent="0.3">
      <c r="AE304" s="15"/>
    </row>
    <row r="305" spans="31:31" x14ac:dyDescent="0.3">
      <c r="AE305" s="15"/>
    </row>
    <row r="306" spans="31:31" x14ac:dyDescent="0.3">
      <c r="AE306" s="15"/>
    </row>
    <row r="307" spans="31:31" x14ac:dyDescent="0.3">
      <c r="AE307" s="15"/>
    </row>
    <row r="308" spans="31:31" x14ac:dyDescent="0.3">
      <c r="AE308" s="15"/>
    </row>
    <row r="309" spans="31:31" x14ac:dyDescent="0.3">
      <c r="AE309" s="15"/>
    </row>
    <row r="310" spans="31:31" x14ac:dyDescent="0.3">
      <c r="AE310" s="15"/>
    </row>
    <row r="311" spans="31:31" x14ac:dyDescent="0.3">
      <c r="AE311" s="15"/>
    </row>
    <row r="312" spans="31:31" x14ac:dyDescent="0.3">
      <c r="AE312" s="15"/>
    </row>
    <row r="313" spans="31:31" x14ac:dyDescent="0.3">
      <c r="AE313" s="15"/>
    </row>
    <row r="314" spans="31:31" x14ac:dyDescent="0.3">
      <c r="AE314" s="15"/>
    </row>
    <row r="315" spans="31:31" x14ac:dyDescent="0.3">
      <c r="AE315" s="15"/>
    </row>
    <row r="316" spans="31:31" x14ac:dyDescent="0.3">
      <c r="AE316" s="15"/>
    </row>
    <row r="317" spans="31:31" x14ac:dyDescent="0.3">
      <c r="AE317" s="15"/>
    </row>
    <row r="318" spans="31:31" x14ac:dyDescent="0.3">
      <c r="AE318" s="15"/>
    </row>
    <row r="319" spans="31:31" x14ac:dyDescent="0.3">
      <c r="AE319" s="15"/>
    </row>
    <row r="320" spans="31:31" x14ac:dyDescent="0.3">
      <c r="AE320" s="15"/>
    </row>
    <row r="321" spans="31:31" x14ac:dyDescent="0.3">
      <c r="AE321" s="15"/>
    </row>
    <row r="322" spans="31:31" x14ac:dyDescent="0.3">
      <c r="AE322" s="15"/>
    </row>
    <row r="323" spans="31:31" x14ac:dyDescent="0.3">
      <c r="AE323" s="15"/>
    </row>
    <row r="324" spans="31:31" x14ac:dyDescent="0.3">
      <c r="AE324" s="15"/>
    </row>
    <row r="325" spans="31:31" x14ac:dyDescent="0.3">
      <c r="AE325" s="15"/>
    </row>
    <row r="326" spans="31:31" x14ac:dyDescent="0.3">
      <c r="AE326" s="15"/>
    </row>
    <row r="327" spans="31:31" x14ac:dyDescent="0.3">
      <c r="AE327" s="15"/>
    </row>
    <row r="328" spans="31:31" x14ac:dyDescent="0.3">
      <c r="AE328" s="15"/>
    </row>
    <row r="329" spans="31:31" x14ac:dyDescent="0.3">
      <c r="AE329" s="15"/>
    </row>
    <row r="330" spans="31:31" x14ac:dyDescent="0.3">
      <c r="AE330" s="15"/>
    </row>
    <row r="331" spans="31:31" x14ac:dyDescent="0.3">
      <c r="AE331" s="15"/>
    </row>
    <row r="332" spans="31:31" x14ac:dyDescent="0.3">
      <c r="AE332" s="15"/>
    </row>
    <row r="333" spans="31:31" x14ac:dyDescent="0.3">
      <c r="AE333" s="15"/>
    </row>
    <row r="334" spans="31:31" x14ac:dyDescent="0.3">
      <c r="AE334" s="15"/>
    </row>
    <row r="335" spans="31:31" x14ac:dyDescent="0.3">
      <c r="AE335" s="15"/>
    </row>
    <row r="336" spans="31:31" x14ac:dyDescent="0.3">
      <c r="AE336" s="15"/>
    </row>
    <row r="337" spans="31:31" x14ac:dyDescent="0.3">
      <c r="AE337" s="15"/>
    </row>
    <row r="338" spans="31:31" x14ac:dyDescent="0.3">
      <c r="AE338" s="15"/>
    </row>
    <row r="339" spans="31:31" x14ac:dyDescent="0.3">
      <c r="AE339" s="15"/>
    </row>
    <row r="340" spans="31:31" x14ac:dyDescent="0.3">
      <c r="AE340" s="15"/>
    </row>
    <row r="341" spans="31:31" x14ac:dyDescent="0.3">
      <c r="AE341" s="15"/>
    </row>
    <row r="342" spans="31:31" x14ac:dyDescent="0.3">
      <c r="AE342" s="15"/>
    </row>
    <row r="343" spans="31:31" x14ac:dyDescent="0.3">
      <c r="AE343" s="15"/>
    </row>
    <row r="344" spans="31:31" x14ac:dyDescent="0.3">
      <c r="AE344" s="15"/>
    </row>
    <row r="345" spans="31:31" x14ac:dyDescent="0.3">
      <c r="AE345" s="15"/>
    </row>
    <row r="346" spans="31:31" x14ac:dyDescent="0.3">
      <c r="AE346" s="15"/>
    </row>
    <row r="347" spans="31:31" x14ac:dyDescent="0.3">
      <c r="AE347" s="15"/>
    </row>
    <row r="348" spans="31:31" x14ac:dyDescent="0.3">
      <c r="AE348" s="15"/>
    </row>
    <row r="349" spans="31:31" x14ac:dyDescent="0.3">
      <c r="AE349" s="15"/>
    </row>
    <row r="350" spans="31:31" x14ac:dyDescent="0.3">
      <c r="AE350" s="15"/>
    </row>
    <row r="351" spans="31:31" x14ac:dyDescent="0.3">
      <c r="AE351" s="15"/>
    </row>
    <row r="352" spans="31:31" x14ac:dyDescent="0.3">
      <c r="AE352" s="15"/>
    </row>
    <row r="353" spans="31:31" x14ac:dyDescent="0.3">
      <c r="AE353" s="15"/>
    </row>
    <row r="354" spans="31:31" x14ac:dyDescent="0.3">
      <c r="AE354" s="15"/>
    </row>
    <row r="355" spans="31:31" x14ac:dyDescent="0.3">
      <c r="AE355" s="15"/>
    </row>
    <row r="356" spans="31:31" x14ac:dyDescent="0.3">
      <c r="AE356" s="15"/>
    </row>
    <row r="357" spans="31:31" x14ac:dyDescent="0.3">
      <c r="AE357" s="15"/>
    </row>
    <row r="358" spans="31:31" x14ac:dyDescent="0.3">
      <c r="AE358" s="15"/>
    </row>
    <row r="359" spans="31:31" x14ac:dyDescent="0.3">
      <c r="AE359" s="15"/>
    </row>
    <row r="360" spans="31:31" x14ac:dyDescent="0.3">
      <c r="AE360" s="15"/>
    </row>
    <row r="361" spans="31:31" x14ac:dyDescent="0.3">
      <c r="AE361" s="15"/>
    </row>
    <row r="362" spans="31:31" x14ac:dyDescent="0.3">
      <c r="AE362" s="15"/>
    </row>
    <row r="363" spans="31:31" x14ac:dyDescent="0.3">
      <c r="AE363" s="15"/>
    </row>
    <row r="364" spans="31:31" x14ac:dyDescent="0.3">
      <c r="AE364" s="15"/>
    </row>
    <row r="365" spans="31:31" x14ac:dyDescent="0.3">
      <c r="AE365" s="15"/>
    </row>
    <row r="366" spans="31:31" x14ac:dyDescent="0.3">
      <c r="AE366" s="15"/>
    </row>
    <row r="367" spans="31:31" x14ac:dyDescent="0.3">
      <c r="AE367" s="15"/>
    </row>
    <row r="368" spans="31:31" x14ac:dyDescent="0.3">
      <c r="AE368" s="15"/>
    </row>
    <row r="369" spans="31:31" x14ac:dyDescent="0.3">
      <c r="AE369" s="15"/>
    </row>
    <row r="370" spans="31:31" x14ac:dyDescent="0.3">
      <c r="AE370" s="15"/>
    </row>
    <row r="371" spans="31:31" x14ac:dyDescent="0.3">
      <c r="AE371" s="15"/>
    </row>
    <row r="372" spans="31:31" x14ac:dyDescent="0.3">
      <c r="AE372" s="15"/>
    </row>
    <row r="373" spans="31:31" x14ac:dyDescent="0.3">
      <c r="AE373" s="15"/>
    </row>
    <row r="374" spans="31:31" x14ac:dyDescent="0.3">
      <c r="AE374" s="15"/>
    </row>
    <row r="375" spans="31:31" x14ac:dyDescent="0.3">
      <c r="AE375" s="15"/>
    </row>
    <row r="376" spans="31:31" x14ac:dyDescent="0.3">
      <c r="AE376" s="15"/>
    </row>
    <row r="377" spans="31:31" x14ac:dyDescent="0.3">
      <c r="AE377" s="15"/>
    </row>
    <row r="378" spans="31:31" x14ac:dyDescent="0.3">
      <c r="AE378" s="15"/>
    </row>
    <row r="379" spans="31:31" x14ac:dyDescent="0.3">
      <c r="AE379" s="15"/>
    </row>
    <row r="380" spans="31:31" x14ac:dyDescent="0.3">
      <c r="AE380" s="15"/>
    </row>
    <row r="381" spans="31:31" x14ac:dyDescent="0.3">
      <c r="AE381" s="15"/>
    </row>
    <row r="382" spans="31:31" x14ac:dyDescent="0.3">
      <c r="AE382" s="15"/>
    </row>
    <row r="383" spans="31:31" x14ac:dyDescent="0.3">
      <c r="AE383" s="15"/>
    </row>
    <row r="384" spans="31:31" x14ac:dyDescent="0.3">
      <c r="AE384" s="15"/>
    </row>
    <row r="385" spans="31:31" x14ac:dyDescent="0.3">
      <c r="AE385" s="15"/>
    </row>
    <row r="386" spans="31:31" x14ac:dyDescent="0.3">
      <c r="AE386" s="15"/>
    </row>
    <row r="387" spans="31:31" x14ac:dyDescent="0.3">
      <c r="AE387" s="15"/>
    </row>
    <row r="388" spans="31:31" x14ac:dyDescent="0.3">
      <c r="AE388" s="15"/>
    </row>
    <row r="389" spans="31:31" x14ac:dyDescent="0.3">
      <c r="AE389" s="15"/>
    </row>
    <row r="390" spans="31:31" x14ac:dyDescent="0.3">
      <c r="AE390" s="15"/>
    </row>
    <row r="391" spans="31:31" x14ac:dyDescent="0.3">
      <c r="AE391" s="15"/>
    </row>
    <row r="392" spans="31:31" x14ac:dyDescent="0.3">
      <c r="AE392" s="15"/>
    </row>
    <row r="393" spans="31:31" x14ac:dyDescent="0.3">
      <c r="AE393" s="15"/>
    </row>
    <row r="394" spans="31:31" x14ac:dyDescent="0.3">
      <c r="AE394" s="15"/>
    </row>
    <row r="395" spans="31:31" x14ac:dyDescent="0.3">
      <c r="AE395" s="15"/>
    </row>
    <row r="396" spans="31:31" x14ac:dyDescent="0.3">
      <c r="AE396" s="15"/>
    </row>
    <row r="397" spans="31:31" x14ac:dyDescent="0.3">
      <c r="AE397" s="15"/>
    </row>
    <row r="398" spans="31:31" x14ac:dyDescent="0.3">
      <c r="AE398" s="15"/>
    </row>
    <row r="399" spans="31:31" x14ac:dyDescent="0.3">
      <c r="AE399" s="15"/>
    </row>
    <row r="400" spans="31:31" x14ac:dyDescent="0.3">
      <c r="AE400" s="15"/>
    </row>
    <row r="401" spans="31:31" x14ac:dyDescent="0.3">
      <c r="AE401" s="15"/>
    </row>
    <row r="402" spans="31:31" x14ac:dyDescent="0.3">
      <c r="AE402" s="15"/>
    </row>
    <row r="403" spans="31:31" x14ac:dyDescent="0.3">
      <c r="AE403" s="15"/>
    </row>
    <row r="404" spans="31:31" x14ac:dyDescent="0.3">
      <c r="AE404" s="15"/>
    </row>
    <row r="405" spans="31:31" x14ac:dyDescent="0.3">
      <c r="AE405" s="15"/>
    </row>
    <row r="406" spans="31:31" x14ac:dyDescent="0.3">
      <c r="AE406" s="15"/>
    </row>
    <row r="407" spans="31:31" x14ac:dyDescent="0.3">
      <c r="AE407" s="15"/>
    </row>
    <row r="408" spans="31:31" x14ac:dyDescent="0.3">
      <c r="AE408" s="15"/>
    </row>
    <row r="409" spans="31:31" x14ac:dyDescent="0.3">
      <c r="AE409" s="15"/>
    </row>
    <row r="410" spans="31:31" x14ac:dyDescent="0.3">
      <c r="AE410" s="15"/>
    </row>
    <row r="411" spans="31:31" x14ac:dyDescent="0.3">
      <c r="AE411" s="15"/>
    </row>
    <row r="412" spans="31:31" x14ac:dyDescent="0.3">
      <c r="AE412" s="15"/>
    </row>
    <row r="413" spans="31:31" x14ac:dyDescent="0.3">
      <c r="AE413" s="15"/>
    </row>
    <row r="414" spans="31:31" x14ac:dyDescent="0.3">
      <c r="AE414" s="15"/>
    </row>
    <row r="415" spans="31:31" x14ac:dyDescent="0.3">
      <c r="AE415" s="15"/>
    </row>
    <row r="416" spans="31:31" x14ac:dyDescent="0.3">
      <c r="AE416" s="15"/>
    </row>
    <row r="417" spans="31:31" x14ac:dyDescent="0.3">
      <c r="AE417" s="15"/>
    </row>
    <row r="418" spans="31:31" x14ac:dyDescent="0.3">
      <c r="AE418" s="15"/>
    </row>
    <row r="419" spans="31:31" x14ac:dyDescent="0.3">
      <c r="AE419" s="15"/>
    </row>
    <row r="420" spans="31:31" x14ac:dyDescent="0.3">
      <c r="AE420" s="15"/>
    </row>
    <row r="421" spans="31:31" x14ac:dyDescent="0.3">
      <c r="AE421" s="15"/>
    </row>
    <row r="422" spans="31:31" x14ac:dyDescent="0.3">
      <c r="AE422" s="15"/>
    </row>
    <row r="423" spans="31:31" x14ac:dyDescent="0.3">
      <c r="AE423" s="15"/>
    </row>
    <row r="424" spans="31:31" x14ac:dyDescent="0.3">
      <c r="AE424" s="15"/>
    </row>
    <row r="425" spans="31:31" x14ac:dyDescent="0.3">
      <c r="AE425" s="15"/>
    </row>
    <row r="426" spans="31:31" x14ac:dyDescent="0.3">
      <c r="AE426" s="15"/>
    </row>
    <row r="427" spans="31:31" x14ac:dyDescent="0.3">
      <c r="AE427" s="15"/>
    </row>
    <row r="428" spans="31:31" x14ac:dyDescent="0.3">
      <c r="AE428" s="15"/>
    </row>
    <row r="429" spans="31:31" x14ac:dyDescent="0.3">
      <c r="AE429" s="15"/>
    </row>
    <row r="430" spans="31:31" x14ac:dyDescent="0.3">
      <c r="AE430" s="15"/>
    </row>
    <row r="431" spans="31:31" x14ac:dyDescent="0.3">
      <c r="AE431" s="15"/>
    </row>
    <row r="432" spans="31:31" x14ac:dyDescent="0.3">
      <c r="AE432" s="15"/>
    </row>
    <row r="433" spans="31:31" x14ac:dyDescent="0.3">
      <c r="AE433" s="15"/>
    </row>
    <row r="434" spans="31:31" x14ac:dyDescent="0.3">
      <c r="AE434" s="15"/>
    </row>
    <row r="435" spans="31:31" x14ac:dyDescent="0.3">
      <c r="AE435" s="15"/>
    </row>
    <row r="436" spans="31:31" x14ac:dyDescent="0.3">
      <c r="AE436" s="15"/>
    </row>
    <row r="437" spans="31:31" x14ac:dyDescent="0.3">
      <c r="AE437" s="15"/>
    </row>
    <row r="438" spans="31:31" x14ac:dyDescent="0.3">
      <c r="AE438" s="15"/>
    </row>
    <row r="439" spans="31:31" x14ac:dyDescent="0.3">
      <c r="AE439" s="15"/>
    </row>
    <row r="440" spans="31:31" x14ac:dyDescent="0.3">
      <c r="AE440" s="15"/>
    </row>
    <row r="441" spans="31:31" x14ac:dyDescent="0.3">
      <c r="AE441" s="15"/>
    </row>
    <row r="442" spans="31:31" x14ac:dyDescent="0.3">
      <c r="AE442" s="15"/>
    </row>
    <row r="443" spans="31:31" x14ac:dyDescent="0.3">
      <c r="AE443" s="15"/>
    </row>
    <row r="444" spans="31:31" x14ac:dyDescent="0.3">
      <c r="AE444" s="15"/>
    </row>
    <row r="445" spans="31:31" x14ac:dyDescent="0.3">
      <c r="AE445" s="15"/>
    </row>
    <row r="446" spans="31:31" x14ac:dyDescent="0.3">
      <c r="AE446" s="15"/>
    </row>
    <row r="447" spans="31:31" x14ac:dyDescent="0.3">
      <c r="AE447" s="15"/>
    </row>
    <row r="448" spans="31:31" x14ac:dyDescent="0.3">
      <c r="AE448" s="15"/>
    </row>
    <row r="449" spans="31:31" x14ac:dyDescent="0.3">
      <c r="AE449" s="15"/>
    </row>
    <row r="450" spans="31:31" x14ac:dyDescent="0.3">
      <c r="AE450" s="15"/>
    </row>
    <row r="451" spans="31:31" x14ac:dyDescent="0.3">
      <c r="AE451" s="15"/>
    </row>
    <row r="452" spans="31:31" x14ac:dyDescent="0.3">
      <c r="AE452" s="15"/>
    </row>
    <row r="453" spans="31:31" x14ac:dyDescent="0.3">
      <c r="AE453" s="15"/>
    </row>
    <row r="454" spans="31:31" x14ac:dyDescent="0.3">
      <c r="AE454" s="15"/>
    </row>
    <row r="455" spans="31:31" x14ac:dyDescent="0.3">
      <c r="AE455" s="15"/>
    </row>
    <row r="456" spans="31:31" x14ac:dyDescent="0.3">
      <c r="AE456" s="15"/>
    </row>
    <row r="457" spans="31:31" x14ac:dyDescent="0.3">
      <c r="AE457" s="15"/>
    </row>
    <row r="458" spans="31:31" x14ac:dyDescent="0.3">
      <c r="AE458" s="15"/>
    </row>
    <row r="459" spans="31:31" x14ac:dyDescent="0.3">
      <c r="AE459" s="15"/>
    </row>
    <row r="460" spans="31:31" x14ac:dyDescent="0.3">
      <c r="AE460" s="15"/>
    </row>
    <row r="461" spans="31:31" x14ac:dyDescent="0.3">
      <c r="AE461" s="15"/>
    </row>
    <row r="462" spans="31:31" x14ac:dyDescent="0.3">
      <c r="AE462" s="15"/>
    </row>
    <row r="463" spans="31:31" x14ac:dyDescent="0.3">
      <c r="AE463" s="15"/>
    </row>
    <row r="464" spans="31:31" x14ac:dyDescent="0.3">
      <c r="AE464" s="15"/>
    </row>
    <row r="465" spans="31:31" x14ac:dyDescent="0.3">
      <c r="AE465" s="15"/>
    </row>
    <row r="466" spans="31:31" x14ac:dyDescent="0.3">
      <c r="AE466" s="15"/>
    </row>
    <row r="467" spans="31:31" x14ac:dyDescent="0.3">
      <c r="AE467" s="15"/>
    </row>
    <row r="468" spans="31:31" x14ac:dyDescent="0.3">
      <c r="AE468" s="15"/>
    </row>
    <row r="469" spans="31:31" x14ac:dyDescent="0.3">
      <c r="AE469" s="15"/>
    </row>
    <row r="470" spans="31:31" x14ac:dyDescent="0.3">
      <c r="AE470" s="15"/>
    </row>
    <row r="471" spans="31:31" x14ac:dyDescent="0.3">
      <c r="AE471" s="15"/>
    </row>
    <row r="472" spans="31:31" x14ac:dyDescent="0.3">
      <c r="AE472" s="15"/>
    </row>
    <row r="473" spans="31:31" x14ac:dyDescent="0.3">
      <c r="AE473" s="15"/>
    </row>
    <row r="474" spans="31:31" x14ac:dyDescent="0.3">
      <c r="AE474" s="15"/>
    </row>
    <row r="475" spans="31:31" x14ac:dyDescent="0.3">
      <c r="AE475" s="15"/>
    </row>
    <row r="476" spans="31:31" x14ac:dyDescent="0.3">
      <c r="AE476" s="15"/>
    </row>
    <row r="477" spans="31:31" x14ac:dyDescent="0.3">
      <c r="AE477" s="15"/>
    </row>
    <row r="478" spans="31:31" x14ac:dyDescent="0.3">
      <c r="AE478" s="15"/>
    </row>
    <row r="479" spans="31:31" x14ac:dyDescent="0.3">
      <c r="AE479" s="15"/>
    </row>
    <row r="480" spans="31:31" x14ac:dyDescent="0.3">
      <c r="AE480" s="15"/>
    </row>
    <row r="481" spans="31:31" x14ac:dyDescent="0.3">
      <c r="AE481" s="15"/>
    </row>
    <row r="482" spans="31:31" x14ac:dyDescent="0.3">
      <c r="AE482" s="15"/>
    </row>
    <row r="483" spans="31:31" x14ac:dyDescent="0.3">
      <c r="AE483" s="15"/>
    </row>
    <row r="484" spans="31:31" x14ac:dyDescent="0.3">
      <c r="AE484" s="15"/>
    </row>
    <row r="485" spans="31:31" x14ac:dyDescent="0.3">
      <c r="AE485" s="15"/>
    </row>
    <row r="486" spans="31:31" x14ac:dyDescent="0.3">
      <c r="AE486" s="15"/>
    </row>
    <row r="487" spans="31:31" x14ac:dyDescent="0.3">
      <c r="AE487" s="15"/>
    </row>
    <row r="488" spans="31:31" x14ac:dyDescent="0.3">
      <c r="AE488" s="15"/>
    </row>
    <row r="489" spans="31:31" x14ac:dyDescent="0.3">
      <c r="AE489" s="15"/>
    </row>
    <row r="490" spans="31:31" x14ac:dyDescent="0.3">
      <c r="AE490" s="15"/>
    </row>
    <row r="491" spans="31:31" x14ac:dyDescent="0.3">
      <c r="AE491" s="15"/>
    </row>
    <row r="492" spans="31:31" x14ac:dyDescent="0.3">
      <c r="AE492" s="15"/>
    </row>
    <row r="493" spans="31:31" x14ac:dyDescent="0.3">
      <c r="AE493" s="15"/>
    </row>
    <row r="494" spans="31:31" x14ac:dyDescent="0.3">
      <c r="AE494" s="15"/>
    </row>
    <row r="495" spans="31:31" x14ac:dyDescent="0.3">
      <c r="AE495" s="15"/>
    </row>
    <row r="496" spans="31:31" x14ac:dyDescent="0.3">
      <c r="AE496" s="15"/>
    </row>
    <row r="497" spans="31:31" x14ac:dyDescent="0.3">
      <c r="AE497" s="15"/>
    </row>
    <row r="498" spans="31:31" x14ac:dyDescent="0.3">
      <c r="AE498" s="15"/>
    </row>
    <row r="499" spans="31:31" x14ac:dyDescent="0.3">
      <c r="AE499" s="15"/>
    </row>
    <row r="500" spans="31:31" x14ac:dyDescent="0.3">
      <c r="AE500" s="15"/>
    </row>
    <row r="501" spans="31:31" x14ac:dyDescent="0.3">
      <c r="AE501" s="15"/>
    </row>
    <row r="502" spans="31:31" x14ac:dyDescent="0.3">
      <c r="AE502" s="15"/>
    </row>
    <row r="503" spans="31:31" x14ac:dyDescent="0.3">
      <c r="AE503" s="15"/>
    </row>
    <row r="504" spans="31:31" x14ac:dyDescent="0.3">
      <c r="AE504" s="15"/>
    </row>
    <row r="505" spans="31:31" x14ac:dyDescent="0.3">
      <c r="AE505" s="15"/>
    </row>
    <row r="506" spans="31:31" x14ac:dyDescent="0.3">
      <c r="AE506" s="15"/>
    </row>
    <row r="507" spans="31:31" x14ac:dyDescent="0.3">
      <c r="AE507" s="15"/>
    </row>
    <row r="508" spans="31:31" x14ac:dyDescent="0.3">
      <c r="AE508" s="15"/>
    </row>
    <row r="509" spans="31:31" x14ac:dyDescent="0.3">
      <c r="AE509" s="15"/>
    </row>
    <row r="510" spans="31:31" x14ac:dyDescent="0.3">
      <c r="AE510" s="15"/>
    </row>
    <row r="511" spans="31:31" x14ac:dyDescent="0.3">
      <c r="AE511" s="15"/>
    </row>
    <row r="512" spans="31:31" x14ac:dyDescent="0.3">
      <c r="AE512" s="15"/>
    </row>
    <row r="513" spans="31:31" x14ac:dyDescent="0.3">
      <c r="AE513" s="15"/>
    </row>
    <row r="514" spans="31:31" x14ac:dyDescent="0.3">
      <c r="AE514" s="15"/>
    </row>
    <row r="515" spans="31:31" x14ac:dyDescent="0.3">
      <c r="AE515" s="15"/>
    </row>
    <row r="516" spans="31:31" x14ac:dyDescent="0.3">
      <c r="AE516" s="15"/>
    </row>
    <row r="517" spans="31:31" x14ac:dyDescent="0.3">
      <c r="AE517" s="15"/>
    </row>
    <row r="518" spans="31:31" x14ac:dyDescent="0.3">
      <c r="AE518" s="15"/>
    </row>
    <row r="519" spans="31:31" x14ac:dyDescent="0.3">
      <c r="AE519" s="15"/>
    </row>
    <row r="520" spans="31:31" x14ac:dyDescent="0.3">
      <c r="AE520" s="15"/>
    </row>
    <row r="521" spans="31:31" x14ac:dyDescent="0.3">
      <c r="AE521" s="15"/>
    </row>
    <row r="522" spans="31:31" x14ac:dyDescent="0.3">
      <c r="AE522" s="15"/>
    </row>
    <row r="523" spans="31:31" x14ac:dyDescent="0.3">
      <c r="AE523" s="15"/>
    </row>
    <row r="524" spans="31:31" x14ac:dyDescent="0.3">
      <c r="AE524" s="15"/>
    </row>
    <row r="525" spans="31:31" x14ac:dyDescent="0.3">
      <c r="AE525" s="15"/>
    </row>
    <row r="526" spans="31:31" x14ac:dyDescent="0.3">
      <c r="AE526" s="15"/>
    </row>
    <row r="527" spans="31:31" x14ac:dyDescent="0.3">
      <c r="AE527" s="15"/>
    </row>
    <row r="528" spans="31:31" x14ac:dyDescent="0.3">
      <c r="AE528" s="15"/>
    </row>
    <row r="529" spans="31:31" x14ac:dyDescent="0.3">
      <c r="AE529" s="15"/>
    </row>
    <row r="530" spans="31:31" x14ac:dyDescent="0.3">
      <c r="AE530" s="15"/>
    </row>
    <row r="531" spans="31:31" x14ac:dyDescent="0.3">
      <c r="AE531" s="15"/>
    </row>
    <row r="532" spans="31:31" x14ac:dyDescent="0.3">
      <c r="AE532" s="15"/>
    </row>
    <row r="533" spans="31:31" x14ac:dyDescent="0.3">
      <c r="AE533" s="15"/>
    </row>
    <row r="534" spans="31:31" x14ac:dyDescent="0.3">
      <c r="AE534" s="15"/>
    </row>
    <row r="535" spans="31:31" x14ac:dyDescent="0.3">
      <c r="AE535" s="15"/>
    </row>
    <row r="536" spans="31:31" x14ac:dyDescent="0.3">
      <c r="AE536" s="15"/>
    </row>
    <row r="537" spans="31:31" x14ac:dyDescent="0.3">
      <c r="AE537" s="15"/>
    </row>
    <row r="538" spans="31:31" x14ac:dyDescent="0.3">
      <c r="AE538" s="15"/>
    </row>
    <row r="539" spans="31:31" x14ac:dyDescent="0.3">
      <c r="AE539" s="15"/>
    </row>
    <row r="540" spans="31:31" x14ac:dyDescent="0.3">
      <c r="AE540" s="15"/>
    </row>
    <row r="541" spans="31:31" x14ac:dyDescent="0.3">
      <c r="AE541" s="15"/>
    </row>
    <row r="542" spans="31:31" x14ac:dyDescent="0.3">
      <c r="AE542" s="15"/>
    </row>
    <row r="543" spans="31:31" x14ac:dyDescent="0.3">
      <c r="AE543" s="15"/>
    </row>
    <row r="544" spans="31:31" x14ac:dyDescent="0.3">
      <c r="AE544" s="15"/>
    </row>
    <row r="545" spans="31:31" x14ac:dyDescent="0.3">
      <c r="AE545" s="15"/>
    </row>
    <row r="546" spans="31:31" x14ac:dyDescent="0.3">
      <c r="AE546" s="15"/>
    </row>
    <row r="547" spans="31:31" x14ac:dyDescent="0.3">
      <c r="AE547" s="15"/>
    </row>
    <row r="548" spans="31:31" x14ac:dyDescent="0.3">
      <c r="AE548" s="15"/>
    </row>
    <row r="549" spans="31:31" x14ac:dyDescent="0.3">
      <c r="AE549" s="15"/>
    </row>
    <row r="550" spans="31:31" x14ac:dyDescent="0.3">
      <c r="AE550" s="15"/>
    </row>
    <row r="551" spans="31:31" x14ac:dyDescent="0.3">
      <c r="AE551" s="15"/>
    </row>
    <row r="552" spans="31:31" x14ac:dyDescent="0.3">
      <c r="AE552" s="15"/>
    </row>
    <row r="553" spans="31:31" x14ac:dyDescent="0.3">
      <c r="AE553" s="15"/>
    </row>
    <row r="554" spans="31:31" x14ac:dyDescent="0.3">
      <c r="AE554" s="15"/>
    </row>
    <row r="555" spans="31:31" x14ac:dyDescent="0.3">
      <c r="AE555" s="15"/>
    </row>
    <row r="556" spans="31:31" x14ac:dyDescent="0.3">
      <c r="AE556" s="15"/>
    </row>
    <row r="557" spans="31:31" x14ac:dyDescent="0.3">
      <c r="AE557" s="15"/>
    </row>
    <row r="558" spans="31:31" x14ac:dyDescent="0.3">
      <c r="AE558" s="15"/>
    </row>
    <row r="559" spans="31:31" x14ac:dyDescent="0.3">
      <c r="AE559" s="15"/>
    </row>
    <row r="560" spans="31:31" x14ac:dyDescent="0.3">
      <c r="AE560" s="15"/>
    </row>
    <row r="561" spans="31:31" x14ac:dyDescent="0.3">
      <c r="AE561" s="15"/>
    </row>
    <row r="562" spans="31:31" x14ac:dyDescent="0.3">
      <c r="AE562" s="15"/>
    </row>
    <row r="563" spans="31:31" x14ac:dyDescent="0.3">
      <c r="AE563" s="15"/>
    </row>
    <row r="564" spans="31:31" x14ac:dyDescent="0.3">
      <c r="AE564" s="15"/>
    </row>
    <row r="565" spans="31:31" x14ac:dyDescent="0.3">
      <c r="AE565" s="15"/>
    </row>
    <row r="566" spans="31:31" x14ac:dyDescent="0.3">
      <c r="AE566" s="15"/>
    </row>
    <row r="567" spans="31:31" x14ac:dyDescent="0.3">
      <c r="AE567" s="15"/>
    </row>
    <row r="568" spans="31:31" x14ac:dyDescent="0.3">
      <c r="AE568" s="15"/>
    </row>
    <row r="569" spans="31:31" x14ac:dyDescent="0.3">
      <c r="AE569" s="15"/>
    </row>
    <row r="570" spans="31:31" x14ac:dyDescent="0.3">
      <c r="AE570" s="15"/>
    </row>
    <row r="571" spans="31:31" x14ac:dyDescent="0.3">
      <c r="AE571" s="15"/>
    </row>
    <row r="572" spans="31:31" x14ac:dyDescent="0.3">
      <c r="AE572" s="15"/>
    </row>
    <row r="573" spans="31:31" x14ac:dyDescent="0.3">
      <c r="AE573" s="15"/>
    </row>
    <row r="574" spans="31:31" x14ac:dyDescent="0.3">
      <c r="AE574" s="15"/>
    </row>
    <row r="575" spans="31:31" x14ac:dyDescent="0.3">
      <c r="AE575" s="15"/>
    </row>
    <row r="576" spans="31:31" x14ac:dyDescent="0.3">
      <c r="AE576" s="15"/>
    </row>
    <row r="577" spans="31:31" x14ac:dyDescent="0.3">
      <c r="AE577" s="15"/>
    </row>
    <row r="578" spans="31:31" x14ac:dyDescent="0.3">
      <c r="AE578" s="15"/>
    </row>
    <row r="579" spans="31:31" x14ac:dyDescent="0.3">
      <c r="AE579" s="15"/>
    </row>
    <row r="580" spans="31:31" x14ac:dyDescent="0.3">
      <c r="AE580" s="15"/>
    </row>
    <row r="581" spans="31:31" x14ac:dyDescent="0.3">
      <c r="AE581" s="15"/>
    </row>
    <row r="582" spans="31:31" x14ac:dyDescent="0.3">
      <c r="AE582" s="15"/>
    </row>
    <row r="583" spans="31:31" x14ac:dyDescent="0.3">
      <c r="AE583" s="15"/>
    </row>
    <row r="584" spans="31:31" x14ac:dyDescent="0.3">
      <c r="AE584" s="15"/>
    </row>
    <row r="585" spans="31:31" x14ac:dyDescent="0.3">
      <c r="AE585" s="15"/>
    </row>
    <row r="586" spans="31:31" x14ac:dyDescent="0.3">
      <c r="AE586" s="15"/>
    </row>
    <row r="587" spans="31:31" x14ac:dyDescent="0.3">
      <c r="AE587" s="15"/>
    </row>
    <row r="588" spans="31:31" x14ac:dyDescent="0.3">
      <c r="AE588" s="15"/>
    </row>
    <row r="589" spans="31:31" x14ac:dyDescent="0.3">
      <c r="AE589" s="15"/>
    </row>
    <row r="590" spans="31:31" x14ac:dyDescent="0.3">
      <c r="AE590" s="15"/>
    </row>
    <row r="591" spans="31:31" x14ac:dyDescent="0.3">
      <c r="AE591" s="15"/>
    </row>
    <row r="592" spans="31:31" x14ac:dyDescent="0.3">
      <c r="AE592" s="15"/>
    </row>
    <row r="593" spans="31:31" x14ac:dyDescent="0.3">
      <c r="AE593" s="15"/>
    </row>
    <row r="594" spans="31:31" x14ac:dyDescent="0.3">
      <c r="AE594" s="15"/>
    </row>
    <row r="595" spans="31:31" x14ac:dyDescent="0.3">
      <c r="AE595" s="15"/>
    </row>
    <row r="596" spans="31:31" x14ac:dyDescent="0.3">
      <c r="AE596" s="15"/>
    </row>
    <row r="597" spans="31:31" x14ac:dyDescent="0.3">
      <c r="AE597" s="15"/>
    </row>
    <row r="598" spans="31:31" x14ac:dyDescent="0.3">
      <c r="AE598" s="15"/>
    </row>
    <row r="599" spans="31:31" x14ac:dyDescent="0.3">
      <c r="AE599" s="15"/>
    </row>
    <row r="600" spans="31:31" x14ac:dyDescent="0.3">
      <c r="AE600" s="15"/>
    </row>
    <row r="601" spans="31:31" x14ac:dyDescent="0.3">
      <c r="AE601" s="15"/>
    </row>
    <row r="602" spans="31:31" x14ac:dyDescent="0.3">
      <c r="AE602" s="15"/>
    </row>
    <row r="603" spans="31:31" x14ac:dyDescent="0.3">
      <c r="AE603" s="15"/>
    </row>
    <row r="604" spans="31:31" x14ac:dyDescent="0.3">
      <c r="AE604" s="15"/>
    </row>
    <row r="605" spans="31:31" x14ac:dyDescent="0.3">
      <c r="AE605" s="15"/>
    </row>
    <row r="606" spans="31:31" x14ac:dyDescent="0.3">
      <c r="AE606" s="15"/>
    </row>
    <row r="607" spans="31:31" x14ac:dyDescent="0.3">
      <c r="AE607" s="15"/>
    </row>
    <row r="608" spans="31:31" x14ac:dyDescent="0.3">
      <c r="AE608" s="15"/>
    </row>
    <row r="609" spans="31:31" x14ac:dyDescent="0.3">
      <c r="AE609" s="15"/>
    </row>
    <row r="610" spans="31:31" x14ac:dyDescent="0.3">
      <c r="AE610" s="15"/>
    </row>
    <row r="611" spans="31:31" x14ac:dyDescent="0.3">
      <c r="AE611" s="15"/>
    </row>
    <row r="612" spans="31:31" x14ac:dyDescent="0.3">
      <c r="AE612" s="15"/>
    </row>
    <row r="613" spans="31:31" x14ac:dyDescent="0.3">
      <c r="AE613" s="15"/>
    </row>
    <row r="614" spans="31:31" x14ac:dyDescent="0.3">
      <c r="AE614" s="15"/>
    </row>
    <row r="615" spans="31:31" x14ac:dyDescent="0.3">
      <c r="AE615" s="15"/>
    </row>
    <row r="616" spans="31:31" x14ac:dyDescent="0.3">
      <c r="AE616" s="15"/>
    </row>
    <row r="617" spans="31:31" x14ac:dyDescent="0.3">
      <c r="AE617" s="15"/>
    </row>
    <row r="618" spans="31:31" x14ac:dyDescent="0.3">
      <c r="AE618" s="15"/>
    </row>
    <row r="619" spans="31:31" x14ac:dyDescent="0.3">
      <c r="AE619" s="15"/>
    </row>
    <row r="620" spans="31:31" x14ac:dyDescent="0.3">
      <c r="AE620" s="15"/>
    </row>
    <row r="621" spans="31:31" x14ac:dyDescent="0.3">
      <c r="AE621" s="15"/>
    </row>
    <row r="622" spans="31:31" x14ac:dyDescent="0.3">
      <c r="AE622" s="15"/>
    </row>
    <row r="623" spans="31:31" x14ac:dyDescent="0.3">
      <c r="AE623" s="15"/>
    </row>
    <row r="624" spans="31:31" x14ac:dyDescent="0.3">
      <c r="AE624" s="15"/>
    </row>
    <row r="625" spans="31:31" x14ac:dyDescent="0.3">
      <c r="AE625" s="15"/>
    </row>
    <row r="626" spans="31:31" x14ac:dyDescent="0.3">
      <c r="AE626" s="15"/>
    </row>
    <row r="627" spans="31:31" x14ac:dyDescent="0.3">
      <c r="AE627" s="15"/>
    </row>
    <row r="628" spans="31:31" x14ac:dyDescent="0.3">
      <c r="AE628" s="15"/>
    </row>
    <row r="629" spans="31:31" x14ac:dyDescent="0.3">
      <c r="AE629" s="15"/>
    </row>
    <row r="630" spans="31:31" x14ac:dyDescent="0.3">
      <c r="AE630" s="15"/>
    </row>
    <row r="631" spans="31:31" x14ac:dyDescent="0.3">
      <c r="AE631" s="15"/>
    </row>
    <row r="632" spans="31:31" x14ac:dyDescent="0.3">
      <c r="AE632" s="15"/>
    </row>
    <row r="633" spans="31:31" x14ac:dyDescent="0.3">
      <c r="AE633" s="15"/>
    </row>
    <row r="634" spans="31:31" x14ac:dyDescent="0.3">
      <c r="AE634" s="15"/>
    </row>
    <row r="635" spans="31:31" x14ac:dyDescent="0.3">
      <c r="AE635" s="15"/>
    </row>
    <row r="636" spans="31:31" x14ac:dyDescent="0.3">
      <c r="AE636" s="15"/>
    </row>
    <row r="637" spans="31:31" x14ac:dyDescent="0.3">
      <c r="AE637" s="15"/>
    </row>
    <row r="638" spans="31:31" x14ac:dyDescent="0.3">
      <c r="AE638" s="15"/>
    </row>
    <row r="639" spans="31:31" x14ac:dyDescent="0.3">
      <c r="AE639" s="15"/>
    </row>
    <row r="640" spans="31:31" x14ac:dyDescent="0.3">
      <c r="AE640" s="15"/>
    </row>
    <row r="641" spans="31:31" x14ac:dyDescent="0.3">
      <c r="AE641" s="15"/>
    </row>
    <row r="642" spans="31:31" x14ac:dyDescent="0.3">
      <c r="AE642" s="15"/>
    </row>
    <row r="643" spans="31:31" x14ac:dyDescent="0.3">
      <c r="AE643" s="15"/>
    </row>
    <row r="644" spans="31:31" x14ac:dyDescent="0.3">
      <c r="AE644" s="15"/>
    </row>
    <row r="645" spans="31:31" x14ac:dyDescent="0.3">
      <c r="AE645" s="15"/>
    </row>
    <row r="646" spans="31:31" x14ac:dyDescent="0.3">
      <c r="AE646" s="15"/>
    </row>
    <row r="647" spans="31:31" x14ac:dyDescent="0.3">
      <c r="AE647" s="15"/>
    </row>
    <row r="648" spans="31:31" x14ac:dyDescent="0.3">
      <c r="AE648" s="15"/>
    </row>
    <row r="649" spans="31:31" x14ac:dyDescent="0.3">
      <c r="AE649" s="15"/>
    </row>
    <row r="650" spans="31:31" x14ac:dyDescent="0.3">
      <c r="AE650" s="15"/>
    </row>
    <row r="651" spans="31:31" x14ac:dyDescent="0.3">
      <c r="AE65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CF62-736E-40CF-A3A2-FD6ECE899F36}">
  <dimension ref="A1:AO27"/>
  <sheetViews>
    <sheetView zoomScale="85" zoomScaleNormal="85" workbookViewId="0">
      <selection activeCell="K39" sqref="K39"/>
    </sheetView>
  </sheetViews>
  <sheetFormatPr defaultRowHeight="14.4" x14ac:dyDescent="0.3"/>
  <cols>
    <col min="1" max="1" width="4.33203125" style="4" bestFit="1" customWidth="1"/>
    <col min="2" max="10" width="6.33203125" style="4" customWidth="1"/>
    <col min="11" max="11" width="7.21875" style="4" customWidth="1"/>
    <col min="12" max="16384" width="8.88671875" style="4"/>
  </cols>
  <sheetData>
    <row r="1" spans="1:41" x14ac:dyDescent="0.3">
      <c r="B1" s="5" t="s">
        <v>121</v>
      </c>
      <c r="C1" s="5" t="s">
        <v>32</v>
      </c>
      <c r="D1" s="5" t="s">
        <v>120</v>
      </c>
      <c r="E1" s="5" t="s">
        <v>34</v>
      </c>
      <c r="F1" s="5" t="s">
        <v>30</v>
      </c>
      <c r="G1" s="5" t="s">
        <v>117</v>
      </c>
      <c r="H1" s="5" t="s">
        <v>118</v>
      </c>
      <c r="I1" s="5" t="s">
        <v>122</v>
      </c>
      <c r="J1" s="5" t="s">
        <v>123</v>
      </c>
      <c r="K1" s="5" t="s">
        <v>119</v>
      </c>
      <c r="L1" s="4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4" t="s">
        <v>5</v>
      </c>
      <c r="R1" s="4" t="s">
        <v>6</v>
      </c>
      <c r="S1" s="4" t="s">
        <v>7</v>
      </c>
      <c r="T1" s="4" t="s">
        <v>8</v>
      </c>
      <c r="U1" s="4" t="s">
        <v>9</v>
      </c>
      <c r="V1" s="4" t="s">
        <v>10</v>
      </c>
      <c r="W1" s="4" t="s">
        <v>11</v>
      </c>
      <c r="X1" s="4" t="s">
        <v>12</v>
      </c>
      <c r="Y1" s="4" t="s">
        <v>13</v>
      </c>
      <c r="Z1" s="4" t="s">
        <v>14</v>
      </c>
      <c r="AA1" s="4" t="s">
        <v>15</v>
      </c>
      <c r="AB1" s="4" t="s">
        <v>16</v>
      </c>
      <c r="AC1" s="4" t="s">
        <v>17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22</v>
      </c>
      <c r="AI1" s="4" t="s">
        <v>23</v>
      </c>
      <c r="AJ1" s="4" t="s">
        <v>24</v>
      </c>
      <c r="AK1" s="4" t="s">
        <v>25</v>
      </c>
      <c r="AL1" s="4" t="s">
        <v>26</v>
      </c>
      <c r="AM1" s="4" t="s">
        <v>27</v>
      </c>
      <c r="AN1" s="4" t="s">
        <v>28</v>
      </c>
      <c r="AO1" s="4" t="s">
        <v>28</v>
      </c>
    </row>
    <row r="2" spans="1:41" x14ac:dyDescent="0.3">
      <c r="A2" s="5" t="s">
        <v>91</v>
      </c>
      <c r="B2" s="5">
        <v>380</v>
      </c>
      <c r="C2" s="5">
        <v>0</v>
      </c>
      <c r="D2" s="5">
        <v>190</v>
      </c>
      <c r="E2" s="5">
        <v>100</v>
      </c>
      <c r="F2" s="6">
        <v>3.8699128484638599</v>
      </c>
      <c r="G2" s="6">
        <v>3.31609565403296</v>
      </c>
      <c r="H2" s="6">
        <v>91.143057958251802</v>
      </c>
      <c r="I2" s="7">
        <f>100*AG2/AF2</f>
        <v>20.854396462075062</v>
      </c>
      <c r="J2" s="6">
        <f>AK2/1000000</f>
        <v>1.1867207991428501</v>
      </c>
      <c r="K2" s="6">
        <f>AH2/1000000</f>
        <v>36.018809360142797</v>
      </c>
      <c r="L2" s="4">
        <v>1094236.1522911901</v>
      </c>
      <c r="M2" s="4">
        <v>342000</v>
      </c>
      <c r="N2" s="4">
        <v>0</v>
      </c>
      <c r="O2" s="4">
        <v>402236.15229119599</v>
      </c>
      <c r="P2" s="4">
        <v>110000</v>
      </c>
      <c r="Q2" s="4">
        <v>240000</v>
      </c>
      <c r="R2" s="4">
        <v>389333.80969335203</v>
      </c>
      <c r="S2" s="4">
        <v>8044.7230458239201</v>
      </c>
      <c r="T2" s="4">
        <v>5130</v>
      </c>
      <c r="U2" s="4">
        <v>1200</v>
      </c>
      <c r="V2" s="4">
        <v>0</v>
      </c>
      <c r="W2" s="4">
        <v>1100</v>
      </c>
      <c r="X2" s="4">
        <v>9851.9999999999909</v>
      </c>
      <c r="Y2" s="4">
        <v>139487.83813113</v>
      </c>
      <c r="Z2" s="4">
        <v>1710493.3842453</v>
      </c>
      <c r="AA2" s="4">
        <v>2327.1458230234798</v>
      </c>
      <c r="AB2" s="4">
        <v>19782.676151043499</v>
      </c>
      <c r="AC2" s="4">
        <v>856891.559030656</v>
      </c>
      <c r="AD2" s="8">
        <v>3.2041512300549698E-11</v>
      </c>
      <c r="AE2" s="4">
        <v>91.143057958251802</v>
      </c>
      <c r="AF2" s="4">
        <v>45509551.699714199</v>
      </c>
      <c r="AG2" s="4">
        <v>9490742.3395714201</v>
      </c>
      <c r="AH2" s="4">
        <v>36018809.360142797</v>
      </c>
      <c r="AI2" s="4">
        <v>856712.64680826897</v>
      </c>
      <c r="AJ2" s="4">
        <v>10677463.1387142</v>
      </c>
      <c r="AK2" s="4">
        <v>1186720.7991428501</v>
      </c>
      <c r="AL2" s="4">
        <v>753807.72393822297</v>
      </c>
      <c r="AM2" s="4">
        <f t="shared" ref="AM2:AM27" si="0">AI2-AL2</f>
        <v>102904.92287004599</v>
      </c>
      <c r="AN2" s="4" cm="1">
        <f t="array" ref="AN2">IF(SUMPRODUCT((E2&gt;=E$2:E$27)*(B2&gt;=B$2:B$27)*(F2&gt;=F$2:F$27)*(C2&gt;=C$2:C$27)*(D2&gt;=D$2:D$27)*(ROW(C$2:C$27)&lt;&gt;ROW()))&gt;0,1,0)</f>
        <v>0</v>
      </c>
      <c r="AO2" s="4">
        <v>0</v>
      </c>
    </row>
    <row r="3" spans="1:41" x14ac:dyDescent="0.3">
      <c r="A3" s="5" t="s">
        <v>92</v>
      </c>
      <c r="B3" s="5">
        <v>360</v>
      </c>
      <c r="C3" s="5">
        <v>0</v>
      </c>
      <c r="D3" s="5">
        <v>180</v>
      </c>
      <c r="E3" s="5">
        <v>100</v>
      </c>
      <c r="F3" s="6">
        <v>3.9064654598757902</v>
      </c>
      <c r="G3" s="6">
        <v>3.1712374214643502</v>
      </c>
      <c r="H3" s="6">
        <v>91.143057958251703</v>
      </c>
      <c r="I3" s="7">
        <f t="shared" ref="I3:I27" si="1">100*AG3/AF3</f>
        <v>20.854396462075048</v>
      </c>
      <c r="J3" s="6">
        <f t="shared" ref="J3:J27" si="2">AK3/1000000</f>
        <v>1.12426180971428</v>
      </c>
      <c r="K3" s="6">
        <f t="shared" ref="K3:K27" si="3">AH3/1000000</f>
        <v>34.123082551714198</v>
      </c>
      <c r="L3" s="4">
        <v>1060496.4004074601</v>
      </c>
      <c r="M3" s="4">
        <v>324000</v>
      </c>
      <c r="N3" s="4">
        <v>0</v>
      </c>
      <c r="O3" s="4">
        <v>386496.40040746599</v>
      </c>
      <c r="P3" s="4">
        <v>110000</v>
      </c>
      <c r="Q3" s="4">
        <v>240000</v>
      </c>
      <c r="R3" s="4">
        <v>372780.83071070898</v>
      </c>
      <c r="S3" s="4">
        <v>7729.9280081493298</v>
      </c>
      <c r="T3" s="4">
        <v>4860</v>
      </c>
      <c r="U3" s="4">
        <v>1200</v>
      </c>
      <c r="V3" s="4">
        <v>0</v>
      </c>
      <c r="W3" s="4">
        <v>1100</v>
      </c>
      <c r="X3" s="4">
        <v>9359.9999999999909</v>
      </c>
      <c r="Y3" s="4">
        <v>134029.59189822499</v>
      </c>
      <c r="Z3" s="4">
        <v>1620467.4166534401</v>
      </c>
      <c r="AA3" s="4">
        <v>2204.6644639169799</v>
      </c>
      <c r="AB3" s="4">
        <v>18741.482669409699</v>
      </c>
      <c r="AC3" s="4">
        <v>811792.00329220004</v>
      </c>
      <c r="AD3" s="8">
        <v>6.4718230774474199E-11</v>
      </c>
      <c r="AE3" s="4">
        <v>91.143057958251703</v>
      </c>
      <c r="AF3" s="4">
        <v>43114312.1365714</v>
      </c>
      <c r="AG3" s="4">
        <v>8991229.5848571397</v>
      </c>
      <c r="AH3" s="4">
        <v>34123082.551714197</v>
      </c>
      <c r="AI3" s="4">
        <v>811613.43252255395</v>
      </c>
      <c r="AJ3" s="4">
        <v>10115491.394571399</v>
      </c>
      <c r="AK3" s="4">
        <v>1124261.8097142801</v>
      </c>
      <c r="AL3" s="4">
        <v>708708.509652509</v>
      </c>
      <c r="AM3" s="4">
        <f t="shared" si="0"/>
        <v>102904.92287004495</v>
      </c>
      <c r="AN3" s="4" cm="1">
        <f t="array" ref="AN3">IF(SUMPRODUCT((E3&gt;=E$2:E$27)*(B3&gt;=B$2:B$27)*(F3&gt;=F$2:F$27)*(C3&gt;=C$2:C$27)*(D3&gt;=D$2:D$27)*(ROW(C$2:C$27)&lt;&gt;ROW()))&gt;0,1,0)</f>
        <v>0</v>
      </c>
      <c r="AO3" s="4">
        <v>0</v>
      </c>
    </row>
    <row r="4" spans="1:41" x14ac:dyDescent="0.3">
      <c r="A4" s="5" t="s">
        <v>93</v>
      </c>
      <c r="B4" s="5">
        <v>0</v>
      </c>
      <c r="C4" s="5">
        <v>0</v>
      </c>
      <c r="D4" s="5">
        <v>190</v>
      </c>
      <c r="E4" s="5">
        <v>100</v>
      </c>
      <c r="F4" s="6">
        <v>3.92362957530126</v>
      </c>
      <c r="G4" s="6">
        <v>3.3217040017919497</v>
      </c>
      <c r="H4" s="6">
        <v>90.047292889758594</v>
      </c>
      <c r="I4" s="7">
        <f t="shared" si="1"/>
        <v>0</v>
      </c>
      <c r="J4" s="7">
        <f t="shared" si="2"/>
        <v>0</v>
      </c>
      <c r="K4" s="6">
        <f t="shared" si="3"/>
        <v>44.962414285714203</v>
      </c>
      <c r="L4" s="4">
        <v>752236.15229119605</v>
      </c>
      <c r="M4" s="4">
        <v>0</v>
      </c>
      <c r="N4" s="4">
        <v>0</v>
      </c>
      <c r="O4" s="4">
        <v>402236.15229119599</v>
      </c>
      <c r="P4" s="4">
        <v>110000</v>
      </c>
      <c r="Q4" s="4">
        <v>240000</v>
      </c>
      <c r="R4" s="4">
        <v>310473.13592544402</v>
      </c>
      <c r="S4" s="4">
        <v>8044.7230458239201</v>
      </c>
      <c r="T4" s="4">
        <v>0</v>
      </c>
      <c r="U4" s="4">
        <v>1200</v>
      </c>
      <c r="V4" s="4">
        <v>0</v>
      </c>
      <c r="W4" s="4">
        <v>1100</v>
      </c>
      <c r="X4" s="4">
        <v>9851.9999999999909</v>
      </c>
      <c r="Y4" s="4">
        <v>139487.83813113</v>
      </c>
      <c r="Z4" s="4">
        <v>2117207.7076719198</v>
      </c>
      <c r="AA4" s="4">
        <v>2299.16777226149</v>
      </c>
      <c r="AB4" s="4">
        <v>0</v>
      </c>
      <c r="AC4" s="4">
        <v>846589.60231660202</v>
      </c>
      <c r="AD4" s="8">
        <v>2.4231569132179401E-11</v>
      </c>
      <c r="AE4" s="4">
        <v>90.047292889758594</v>
      </c>
      <c r="AF4" s="4">
        <v>44962414.285714202</v>
      </c>
      <c r="AG4" s="4">
        <v>0</v>
      </c>
      <c r="AH4" s="4">
        <v>44962414.285714202</v>
      </c>
      <c r="AI4" s="4">
        <v>846417.17769629904</v>
      </c>
      <c r="AJ4" s="4">
        <v>0</v>
      </c>
      <c r="AK4" s="4">
        <v>0</v>
      </c>
      <c r="AL4" s="4">
        <v>743512.25482625398</v>
      </c>
      <c r="AM4" s="4">
        <f t="shared" si="0"/>
        <v>102904.92287004506</v>
      </c>
      <c r="AN4" s="4" cm="1">
        <f t="array" ref="AN4">IF(SUMPRODUCT((E4&gt;=E$2:E$27)*(B4&gt;=B$2:B$27)*(F4&gt;=F$2:F$27)*(C4&gt;=C$2:C$27)*(D4&gt;=D$2:D$27)*(ROW(C$2:C$27)&lt;&gt;ROW()))&gt;0,1,0)</f>
        <v>0</v>
      </c>
      <c r="AO4" s="4">
        <v>0</v>
      </c>
    </row>
    <row r="5" spans="1:41" x14ac:dyDescent="0.3">
      <c r="A5" s="5" t="s">
        <v>94</v>
      </c>
      <c r="B5" s="5">
        <v>0</v>
      </c>
      <c r="C5" s="5">
        <v>0</v>
      </c>
      <c r="D5" s="5">
        <v>180</v>
      </c>
      <c r="E5" s="5">
        <v>100</v>
      </c>
      <c r="F5" s="6">
        <v>3.9606269871448498</v>
      </c>
      <c r="G5" s="6">
        <v>3.1765505930255</v>
      </c>
      <c r="H5" s="6">
        <v>90.047292889758594</v>
      </c>
      <c r="I5" s="7">
        <f t="shared" si="1"/>
        <v>0</v>
      </c>
      <c r="J5" s="7">
        <f t="shared" si="2"/>
        <v>0</v>
      </c>
      <c r="K5" s="6">
        <f t="shared" si="3"/>
        <v>42.595971428571403</v>
      </c>
      <c r="L5" s="4">
        <v>736496.40040746599</v>
      </c>
      <c r="M5" s="4">
        <v>0</v>
      </c>
      <c r="N5" s="4">
        <v>0</v>
      </c>
      <c r="O5" s="4">
        <v>386496.40040746599</v>
      </c>
      <c r="P5" s="4">
        <v>110000</v>
      </c>
      <c r="Q5" s="4">
        <v>240000</v>
      </c>
      <c r="R5" s="4">
        <v>298070.71872005903</v>
      </c>
      <c r="S5" s="4">
        <v>7729.9280081493298</v>
      </c>
      <c r="T5" s="4">
        <v>0</v>
      </c>
      <c r="U5" s="4">
        <v>1200</v>
      </c>
      <c r="V5" s="4">
        <v>0</v>
      </c>
      <c r="W5" s="4">
        <v>1100</v>
      </c>
      <c r="X5" s="4">
        <v>9359.9999999999909</v>
      </c>
      <c r="Y5" s="4">
        <v>134029.59189822499</v>
      </c>
      <c r="Z5" s="4">
        <v>2005775.72305761</v>
      </c>
      <c r="AA5" s="4">
        <v>2178.1589421424701</v>
      </c>
      <c r="AB5" s="4">
        <v>0</v>
      </c>
      <c r="AC5" s="4">
        <v>802032.25482625398</v>
      </c>
      <c r="AD5" s="8">
        <v>6.2323003900490095E-11</v>
      </c>
      <c r="AE5" s="4">
        <v>90.047292889758594</v>
      </c>
      <c r="AF5" s="4">
        <v>42595971.428571403</v>
      </c>
      <c r="AG5" s="4">
        <v>0</v>
      </c>
      <c r="AH5" s="4">
        <v>42595971.428571403</v>
      </c>
      <c r="AI5" s="4">
        <v>801859.83020595205</v>
      </c>
      <c r="AJ5" s="4">
        <v>0</v>
      </c>
      <c r="AK5" s="4">
        <v>0</v>
      </c>
      <c r="AL5" s="4">
        <v>698954.90733590699</v>
      </c>
      <c r="AM5" s="4">
        <f t="shared" si="0"/>
        <v>102904.92287004506</v>
      </c>
      <c r="AN5" s="4" cm="1">
        <f t="array" ref="AN5">IF(SUMPRODUCT((E5&gt;=E$2:E$27)*(B5&gt;=B$2:B$27)*(F5&gt;=F$2:F$27)*(C5&gt;=C$2:C$27)*(D5&gt;=D$2:D$27)*(ROW(C$2:C$27)&lt;&gt;ROW()))&gt;0,1,0)</f>
        <v>0</v>
      </c>
      <c r="AO5" s="4">
        <v>0</v>
      </c>
    </row>
    <row r="6" spans="1:41" x14ac:dyDescent="0.3">
      <c r="A6" s="5" t="s">
        <v>95</v>
      </c>
      <c r="B6" s="5">
        <v>340</v>
      </c>
      <c r="C6" s="5">
        <v>0</v>
      </c>
      <c r="D6" s="5">
        <v>170</v>
      </c>
      <c r="E6" s="5">
        <v>200</v>
      </c>
      <c r="F6" s="6">
        <v>4.1124265412194498</v>
      </c>
      <c r="G6" s="6">
        <v>3.1529663702725199</v>
      </c>
      <c r="H6" s="6">
        <v>91.143057958251703</v>
      </c>
      <c r="I6" s="7">
        <f t="shared" si="1"/>
        <v>20.854396462075062</v>
      </c>
      <c r="J6" s="6">
        <f t="shared" si="2"/>
        <v>1.0618028202857099</v>
      </c>
      <c r="K6" s="6">
        <f t="shared" si="3"/>
        <v>32.227355743285699</v>
      </c>
      <c r="L6" s="4">
        <v>1136561.6848505801</v>
      </c>
      <c r="M6" s="4">
        <v>306000</v>
      </c>
      <c r="N6" s="4">
        <v>0</v>
      </c>
      <c r="O6" s="4">
        <v>370561.68485058902</v>
      </c>
      <c r="P6" s="4">
        <v>220000</v>
      </c>
      <c r="Q6" s="4">
        <v>240000</v>
      </c>
      <c r="R6" s="4">
        <v>373077.60646728799</v>
      </c>
      <c r="S6" s="4">
        <v>7411.2336970117904</v>
      </c>
      <c r="T6" s="4">
        <v>4590</v>
      </c>
      <c r="U6" s="4">
        <v>1200</v>
      </c>
      <c r="V6" s="4">
        <v>0</v>
      </c>
      <c r="W6" s="4">
        <v>2200</v>
      </c>
      <c r="X6" s="4">
        <v>8867.9999999999909</v>
      </c>
      <c r="Y6" s="4">
        <v>128503.73597602001</v>
      </c>
      <c r="Z6" s="4">
        <v>1530441.44906159</v>
      </c>
      <c r="AA6" s="4">
        <v>2082.18310481048</v>
      </c>
      <c r="AB6" s="4">
        <v>17700.289187775801</v>
      </c>
      <c r="AC6" s="4">
        <v>766692.44755374501</v>
      </c>
      <c r="AD6" s="8">
        <v>3.7611818421672503E-11</v>
      </c>
      <c r="AE6" s="4">
        <v>91.143057958251703</v>
      </c>
      <c r="AF6" s="4">
        <v>40719072.573428497</v>
      </c>
      <c r="AG6" s="4">
        <v>8491716.8301428501</v>
      </c>
      <c r="AH6" s="4">
        <v>32227355.743285701</v>
      </c>
      <c r="AI6" s="4">
        <v>766348.79352641501</v>
      </c>
      <c r="AJ6" s="4">
        <v>9553519.6504285708</v>
      </c>
      <c r="AK6" s="4">
        <v>1061802.82028571</v>
      </c>
      <c r="AL6" s="4">
        <v>663443.87065636995</v>
      </c>
      <c r="AM6" s="4">
        <f t="shared" si="0"/>
        <v>102904.92287004506</v>
      </c>
      <c r="AN6" s="4" cm="1">
        <f t="array" ref="AN6">IF(SUMPRODUCT((E6&gt;=E$2:E$27)*(B6&gt;=B$2:B$27)*(F6&gt;=F$2:F$27)*(C6&gt;=C$2:C$27)*(D6&gt;=D$2:D$27)*(ROW(C$2:C$27)&lt;&gt;ROW()))&gt;0,1,0)</f>
        <v>0</v>
      </c>
      <c r="AO6" s="4">
        <v>0</v>
      </c>
    </row>
    <row r="7" spans="1:41" x14ac:dyDescent="0.3">
      <c r="A7" s="5" t="s">
        <v>96</v>
      </c>
      <c r="B7" s="5">
        <v>320</v>
      </c>
      <c r="C7" s="5">
        <v>0</v>
      </c>
      <c r="D7" s="5">
        <v>160</v>
      </c>
      <c r="E7" s="5">
        <v>200</v>
      </c>
      <c r="F7" s="6">
        <v>4.1677747615853402</v>
      </c>
      <c r="G7" s="6">
        <v>3.0074366426471402</v>
      </c>
      <c r="H7" s="6">
        <v>91.143057958251802</v>
      </c>
      <c r="I7" s="7">
        <f t="shared" si="1"/>
        <v>20.854396462075048</v>
      </c>
      <c r="J7" s="6">
        <f t="shared" si="2"/>
        <v>0.99934383085714196</v>
      </c>
      <c r="K7" s="6">
        <f t="shared" si="3"/>
        <v>30.3316289348571</v>
      </c>
      <c r="L7" s="4">
        <v>1102416.00690725</v>
      </c>
      <c r="M7" s="4">
        <v>288000</v>
      </c>
      <c r="N7" s="4">
        <v>0</v>
      </c>
      <c r="O7" s="4">
        <v>354416.00690725399</v>
      </c>
      <c r="P7" s="4">
        <v>220000</v>
      </c>
      <c r="Q7" s="4">
        <v>240000</v>
      </c>
      <c r="R7" s="4">
        <v>356399.82591520803</v>
      </c>
      <c r="S7" s="4">
        <v>7088.3201381450799</v>
      </c>
      <c r="T7" s="4">
        <v>4320</v>
      </c>
      <c r="U7" s="4">
        <v>1200</v>
      </c>
      <c r="V7" s="4">
        <v>0</v>
      </c>
      <c r="W7" s="4">
        <v>2200</v>
      </c>
      <c r="X7" s="4">
        <v>8376</v>
      </c>
      <c r="Y7" s="4">
        <v>122904.72231539</v>
      </c>
      <c r="Z7" s="4">
        <v>1440415.4814697299</v>
      </c>
      <c r="AA7" s="4">
        <v>1959.7017457039799</v>
      </c>
      <c r="AB7" s="4">
        <v>16659.095706141899</v>
      </c>
      <c r="AC7" s="4">
        <v>721592.89181528904</v>
      </c>
      <c r="AD7" s="8">
        <v>7.6473113555916103E-11</v>
      </c>
      <c r="AE7" s="4">
        <v>91.143057958251802</v>
      </c>
      <c r="AF7" s="4">
        <v>38323833.010285698</v>
      </c>
      <c r="AG7" s="4">
        <v>7992204.0754285697</v>
      </c>
      <c r="AH7" s="4">
        <v>30331628.9348571</v>
      </c>
      <c r="AI7" s="4">
        <v>721247.96534108697</v>
      </c>
      <c r="AJ7" s="4">
        <v>8991547.9062857106</v>
      </c>
      <c r="AK7" s="4">
        <v>999343.83085714199</v>
      </c>
      <c r="AL7" s="4">
        <v>618343.04247104202</v>
      </c>
      <c r="AM7" s="4">
        <f t="shared" si="0"/>
        <v>102904.92287004495</v>
      </c>
      <c r="AN7" s="4" cm="1">
        <f t="array" ref="AN7">IF(SUMPRODUCT((E7&gt;=E$2:E$27)*(B7&gt;=B$2:B$27)*(F7&gt;=F$2:F$27)*(C7&gt;=C$2:C$27)*(D7&gt;=D$2:D$27)*(ROW(C$2:C$27)&lt;&gt;ROW()))&gt;0,1,0)</f>
        <v>0</v>
      </c>
      <c r="AO7" s="4">
        <v>0</v>
      </c>
    </row>
    <row r="8" spans="1:41" x14ac:dyDescent="0.3">
      <c r="A8" s="5" t="s">
        <v>97</v>
      </c>
      <c r="B8" s="5">
        <v>0</v>
      </c>
      <c r="C8" s="5">
        <v>0</v>
      </c>
      <c r="D8" s="5">
        <v>170</v>
      </c>
      <c r="E8" s="5">
        <v>200</v>
      </c>
      <c r="F8" s="6">
        <v>4.1690943621389103</v>
      </c>
      <c r="G8" s="6">
        <v>3.15798436563583</v>
      </c>
      <c r="H8" s="6">
        <v>90.047292889758594</v>
      </c>
      <c r="I8" s="7">
        <f t="shared" si="1"/>
        <v>0</v>
      </c>
      <c r="J8" s="7">
        <f t="shared" si="2"/>
        <v>0</v>
      </c>
      <c r="K8" s="6">
        <f t="shared" si="3"/>
        <v>40.229528571428503</v>
      </c>
      <c r="L8" s="4">
        <v>830561.68485058995</v>
      </c>
      <c r="M8" s="4">
        <v>0</v>
      </c>
      <c r="N8" s="4">
        <v>0</v>
      </c>
      <c r="O8" s="4">
        <v>370561.68485058902</v>
      </c>
      <c r="P8" s="4">
        <v>220000</v>
      </c>
      <c r="Q8" s="4">
        <v>240000</v>
      </c>
      <c r="R8" s="4">
        <v>302518.05625389598</v>
      </c>
      <c r="S8" s="4">
        <v>7411.2336970117904</v>
      </c>
      <c r="T8" s="4">
        <v>0</v>
      </c>
      <c r="U8" s="4">
        <v>1200</v>
      </c>
      <c r="V8" s="4">
        <v>0</v>
      </c>
      <c r="W8" s="4">
        <v>2200</v>
      </c>
      <c r="X8" s="4">
        <v>8867.9999999999909</v>
      </c>
      <c r="Y8" s="4">
        <v>128503.73597602001</v>
      </c>
      <c r="Z8" s="4">
        <v>1894343.7384432999</v>
      </c>
      <c r="AA8" s="4">
        <v>2057.1501120234402</v>
      </c>
      <c r="AB8" s="4">
        <v>0</v>
      </c>
      <c r="AC8" s="4">
        <v>757474.90733590699</v>
      </c>
      <c r="AD8" s="8">
        <v>3.2495910724199801E-11</v>
      </c>
      <c r="AE8" s="4">
        <v>90.047292889758594</v>
      </c>
      <c r="AF8" s="4">
        <v>40229528.5714285</v>
      </c>
      <c r="AG8" s="4">
        <v>0</v>
      </c>
      <c r="AH8" s="4">
        <v>40229528.5714285</v>
      </c>
      <c r="AI8" s="4">
        <v>757130.19893182104</v>
      </c>
      <c r="AJ8" s="4">
        <v>0</v>
      </c>
      <c r="AK8" s="4">
        <v>0</v>
      </c>
      <c r="AL8" s="4">
        <v>654225.27606177598</v>
      </c>
      <c r="AM8" s="4">
        <f t="shared" si="0"/>
        <v>102904.92287004506</v>
      </c>
      <c r="AN8" s="4" cm="1">
        <f t="array" ref="AN8">IF(SUMPRODUCT((E8&gt;=E$2:E$27)*(B8&gt;=B$2:B$27)*(F8&gt;=F$2:F$27)*(C8&gt;=C$2:C$27)*(D8&gt;=D$2:D$27)*(ROW(C$2:C$27)&lt;&gt;ROW()))&gt;0,1,0)</f>
        <v>0</v>
      </c>
      <c r="AO8" s="4">
        <v>0</v>
      </c>
    </row>
    <row r="9" spans="1:41" x14ac:dyDescent="0.3">
      <c r="A9" s="5" t="s">
        <v>98</v>
      </c>
      <c r="B9" s="5">
        <v>0</v>
      </c>
      <c r="C9" s="5">
        <v>0</v>
      </c>
      <c r="D9" s="5">
        <v>160</v>
      </c>
      <c r="E9" s="5">
        <v>200</v>
      </c>
      <c r="F9" s="6">
        <v>4.2251161024356501</v>
      </c>
      <c r="G9" s="6">
        <v>3.01215946181261</v>
      </c>
      <c r="H9" s="6">
        <v>90.047292889758594</v>
      </c>
      <c r="I9" s="7">
        <f t="shared" si="1"/>
        <v>0</v>
      </c>
      <c r="J9" s="7">
        <f t="shared" si="2"/>
        <v>0</v>
      </c>
      <c r="K9" s="6">
        <f t="shared" si="3"/>
        <v>37.863085714285702</v>
      </c>
      <c r="L9" s="4">
        <v>814416.00690725399</v>
      </c>
      <c r="M9" s="4">
        <v>0</v>
      </c>
      <c r="N9" s="4">
        <v>0</v>
      </c>
      <c r="O9" s="4">
        <v>354416.00690725399</v>
      </c>
      <c r="P9" s="4">
        <v>220000</v>
      </c>
      <c r="Q9" s="4">
        <v>240000</v>
      </c>
      <c r="R9" s="4">
        <v>289990.83747907402</v>
      </c>
      <c r="S9" s="4">
        <v>7088.3201381450799</v>
      </c>
      <c r="T9" s="4">
        <v>0</v>
      </c>
      <c r="U9" s="4">
        <v>1200</v>
      </c>
      <c r="V9" s="4">
        <v>0</v>
      </c>
      <c r="W9" s="4">
        <v>2200</v>
      </c>
      <c r="X9" s="4">
        <v>8376</v>
      </c>
      <c r="Y9" s="4">
        <v>122904.72231539</v>
      </c>
      <c r="Z9" s="4">
        <v>1782911.75382898</v>
      </c>
      <c r="AA9" s="4">
        <v>1936.1412819044101</v>
      </c>
      <c r="AB9" s="4">
        <v>0</v>
      </c>
      <c r="AC9" s="4">
        <v>712917.55984556</v>
      </c>
      <c r="AD9" s="8">
        <v>5.6947304015255003E-11</v>
      </c>
      <c r="AE9" s="4">
        <v>90.047292889758594</v>
      </c>
      <c r="AF9" s="4">
        <v>37863085.714285702</v>
      </c>
      <c r="AG9" s="4">
        <v>0</v>
      </c>
      <c r="AH9" s="4">
        <v>37863085.714285702</v>
      </c>
      <c r="AI9" s="4">
        <v>712571.64101676305</v>
      </c>
      <c r="AJ9" s="4">
        <v>0</v>
      </c>
      <c r="AK9" s="4">
        <v>0</v>
      </c>
      <c r="AL9" s="4">
        <v>609666.71814671799</v>
      </c>
      <c r="AM9" s="4">
        <f t="shared" si="0"/>
        <v>102904.92287004506</v>
      </c>
      <c r="AN9" s="4" cm="1">
        <f t="array" ref="AN9">IF(SUMPRODUCT((E9&gt;=E$2:E$27)*(B9&gt;=B$2:B$27)*(F9&gt;=F$2:F$27)*(C9&gt;=C$2:C$27)*(D9&gt;=D$2:D$27)*(ROW(C$2:C$27)&lt;&gt;ROW()))&gt;0,1,0)</f>
        <v>0</v>
      </c>
      <c r="AO9" s="4">
        <v>0</v>
      </c>
    </row>
    <row r="10" spans="1:41" x14ac:dyDescent="0.3">
      <c r="A10" s="5" t="s">
        <v>99</v>
      </c>
      <c r="B10" s="5">
        <v>300</v>
      </c>
      <c r="C10" s="5">
        <v>0</v>
      </c>
      <c r="D10" s="5">
        <v>150</v>
      </c>
      <c r="E10" s="5">
        <v>200</v>
      </c>
      <c r="F10" s="6">
        <v>4.22994186240064</v>
      </c>
      <c r="G10" s="6">
        <v>2.8615274819064602</v>
      </c>
      <c r="H10" s="6">
        <v>91.143057958251703</v>
      </c>
      <c r="I10" s="7">
        <f t="shared" si="1"/>
        <v>20.854396462075062</v>
      </c>
      <c r="J10" s="6">
        <f t="shared" si="2"/>
        <v>0.93688484142857098</v>
      </c>
      <c r="K10" s="6">
        <f t="shared" si="3"/>
        <v>28.435902126428498</v>
      </c>
      <c r="L10" s="4">
        <v>1068040.95752204</v>
      </c>
      <c r="M10" s="4">
        <v>270000</v>
      </c>
      <c r="N10" s="4">
        <v>0</v>
      </c>
      <c r="O10" s="4">
        <v>338040.957522046</v>
      </c>
      <c r="P10" s="4">
        <v>220000</v>
      </c>
      <c r="Q10" s="4">
        <v>240000</v>
      </c>
      <c r="R10" s="4">
        <v>339651.52533798601</v>
      </c>
      <c r="S10" s="4">
        <v>6760.8191504409297</v>
      </c>
      <c r="T10" s="4">
        <v>4050</v>
      </c>
      <c r="U10" s="4">
        <v>1200</v>
      </c>
      <c r="V10" s="4">
        <v>0</v>
      </c>
      <c r="W10" s="4">
        <v>2200</v>
      </c>
      <c r="X10" s="4">
        <v>7884</v>
      </c>
      <c r="Y10" s="4">
        <v>117226.167006469</v>
      </c>
      <c r="Z10" s="4">
        <v>1350389.51387787</v>
      </c>
      <c r="AA10" s="4">
        <v>1837.22038659748</v>
      </c>
      <c r="AB10" s="4">
        <v>15617.902224508</v>
      </c>
      <c r="AC10" s="4">
        <v>676493.33607683296</v>
      </c>
      <c r="AD10" s="8">
        <v>3.46765473478529E-11</v>
      </c>
      <c r="AE10" s="4">
        <v>91.143057958251703</v>
      </c>
      <c r="AF10" s="4">
        <v>35928593.447142802</v>
      </c>
      <c r="AG10" s="4">
        <v>7492691.32071428</v>
      </c>
      <c r="AH10" s="4">
        <v>28435902.1264285</v>
      </c>
      <c r="AI10" s="4">
        <v>676149.96148008294</v>
      </c>
      <c r="AJ10" s="4">
        <v>8429576.1621428505</v>
      </c>
      <c r="AK10" s="4">
        <v>936884.84142857103</v>
      </c>
      <c r="AL10" s="4">
        <v>573245.038610038</v>
      </c>
      <c r="AM10" s="4">
        <f t="shared" si="0"/>
        <v>102904.92287004495</v>
      </c>
      <c r="AN10" s="4" cm="1">
        <f t="array" ref="AN10">IF(SUMPRODUCT((E10&gt;=E$2:E$27)*(B10&gt;=B$2:B$27)*(F10&gt;=F$2:F$27)*(C10&gt;=C$2:C$27)*(D10&gt;=D$2:D$27)*(ROW(C$2:C$27)&lt;&gt;ROW()))&gt;0,1,0)</f>
        <v>0</v>
      </c>
      <c r="AO10" s="4">
        <v>0</v>
      </c>
    </row>
    <row r="11" spans="1:41" x14ac:dyDescent="0.3">
      <c r="A11" s="5" t="s">
        <v>100</v>
      </c>
      <c r="B11" s="5">
        <v>0</v>
      </c>
      <c r="C11" s="5">
        <v>0</v>
      </c>
      <c r="D11" s="5">
        <v>150</v>
      </c>
      <c r="E11" s="5">
        <v>200</v>
      </c>
      <c r="F11" s="6">
        <v>4.28803970059026</v>
      </c>
      <c r="G11" s="6">
        <v>2.86595512487408</v>
      </c>
      <c r="H11" s="6">
        <v>90.047292889758594</v>
      </c>
      <c r="I11" s="7">
        <f t="shared" si="1"/>
        <v>0</v>
      </c>
      <c r="J11" s="7">
        <f t="shared" si="2"/>
        <v>0</v>
      </c>
      <c r="K11" s="6">
        <f t="shared" si="3"/>
        <v>35.496642857142795</v>
      </c>
      <c r="L11" s="4">
        <v>798040.95752204605</v>
      </c>
      <c r="M11" s="4">
        <v>0</v>
      </c>
      <c r="N11" s="4">
        <v>0</v>
      </c>
      <c r="O11" s="4">
        <v>338040.957522046</v>
      </c>
      <c r="P11" s="4">
        <v>220000</v>
      </c>
      <c r="Q11" s="4">
        <v>240000</v>
      </c>
      <c r="R11" s="4">
        <v>277393.09867911</v>
      </c>
      <c r="S11" s="4">
        <v>6760.8191504409297</v>
      </c>
      <c r="T11" s="4">
        <v>0</v>
      </c>
      <c r="U11" s="4">
        <v>1200</v>
      </c>
      <c r="V11" s="4">
        <v>0</v>
      </c>
      <c r="W11" s="4">
        <v>2200</v>
      </c>
      <c r="X11" s="4">
        <v>7884</v>
      </c>
      <c r="Y11" s="4">
        <v>117226.167006469</v>
      </c>
      <c r="Z11" s="4">
        <v>1671479.7692146699</v>
      </c>
      <c r="AA11" s="4">
        <v>1815.13245178539</v>
      </c>
      <c r="AB11" s="4">
        <v>0</v>
      </c>
      <c r="AC11" s="4">
        <v>668360.21235521196</v>
      </c>
      <c r="AD11" s="8">
        <v>2.4183036525674299E-11</v>
      </c>
      <c r="AE11" s="4">
        <v>90.047292889758594</v>
      </c>
      <c r="AF11" s="4">
        <v>35496642.857142799</v>
      </c>
      <c r="AG11" s="4">
        <v>0</v>
      </c>
      <c r="AH11" s="4">
        <v>35496642.857142799</v>
      </c>
      <c r="AI11" s="4">
        <v>668015.90742602898</v>
      </c>
      <c r="AJ11" s="4">
        <v>0</v>
      </c>
      <c r="AK11" s="4">
        <v>0</v>
      </c>
      <c r="AL11" s="4">
        <v>565110.98455598403</v>
      </c>
      <c r="AM11" s="4">
        <f t="shared" si="0"/>
        <v>102904.92287004495</v>
      </c>
      <c r="AN11" s="4" cm="1">
        <f t="array" ref="AN11">IF(SUMPRODUCT((E11&gt;=E$2:E$27)*(B11&gt;=B$2:B$27)*(F11&gt;=F$2:F$27)*(C11&gt;=C$2:C$27)*(D11&gt;=D$2:D$27)*(ROW(C$2:C$27)&lt;&gt;ROW()))&gt;0,1,0)</f>
        <v>0</v>
      </c>
      <c r="AO11" s="4">
        <v>0</v>
      </c>
    </row>
    <row r="12" spans="1:41" x14ac:dyDescent="0.3">
      <c r="A12" s="5" t="s">
        <v>101</v>
      </c>
      <c r="B12" s="5">
        <v>280</v>
      </c>
      <c r="C12" s="5">
        <v>0</v>
      </c>
      <c r="D12" s="5">
        <v>140</v>
      </c>
      <c r="E12" s="5">
        <v>300</v>
      </c>
      <c r="F12" s="6">
        <v>4.5013323238233003</v>
      </c>
      <c r="G12" s="6">
        <v>2.84211323249813</v>
      </c>
      <c r="H12" s="6">
        <v>91.143057958251802</v>
      </c>
      <c r="I12" s="7">
        <f t="shared" si="1"/>
        <v>20.854396462075041</v>
      </c>
      <c r="J12" s="6">
        <f t="shared" si="2"/>
        <v>0.874425852</v>
      </c>
      <c r="K12" s="6">
        <f t="shared" si="3"/>
        <v>26.5401753179999</v>
      </c>
      <c r="L12" s="4">
        <v>1143415.1662190401</v>
      </c>
      <c r="M12" s="4">
        <v>252000</v>
      </c>
      <c r="N12" s="4">
        <v>0</v>
      </c>
      <c r="O12" s="4">
        <v>321415.16621904698</v>
      </c>
      <c r="P12" s="4">
        <v>330000</v>
      </c>
      <c r="Q12" s="4">
        <v>240000</v>
      </c>
      <c r="R12" s="4">
        <v>339735.83053330099</v>
      </c>
      <c r="S12" s="4">
        <v>6428.3033243809496</v>
      </c>
      <c r="T12" s="4">
        <v>3780</v>
      </c>
      <c r="U12" s="4">
        <v>1200</v>
      </c>
      <c r="V12" s="4">
        <v>0</v>
      </c>
      <c r="W12" s="4">
        <v>3300</v>
      </c>
      <c r="X12" s="4">
        <v>7392</v>
      </c>
      <c r="Y12" s="4">
        <v>111460.65917514999</v>
      </c>
      <c r="Z12" s="4">
        <v>1260363.54628601</v>
      </c>
      <c r="AA12" s="4">
        <v>1714.7390274909901</v>
      </c>
      <c r="AB12" s="4">
        <v>14576.7087428742</v>
      </c>
      <c r="AC12" s="4">
        <v>631393.78033837804</v>
      </c>
      <c r="AD12" s="8">
        <v>5.3770797338513197E-11</v>
      </c>
      <c r="AE12" s="4">
        <v>91.143057958251802</v>
      </c>
      <c r="AF12" s="4">
        <v>33533353.884</v>
      </c>
      <c r="AG12" s="4">
        <v>6993178.5659999996</v>
      </c>
      <c r="AH12" s="4">
        <v>26540175.317999899</v>
      </c>
      <c r="AI12" s="4">
        <v>630878.46341058495</v>
      </c>
      <c r="AJ12" s="4">
        <v>7867604.4179999996</v>
      </c>
      <c r="AK12" s="4">
        <v>874425.85199999996</v>
      </c>
      <c r="AL12" s="4">
        <v>527973.54054054001</v>
      </c>
      <c r="AM12" s="4">
        <f t="shared" si="0"/>
        <v>102904.92287004495</v>
      </c>
      <c r="AN12" s="4" cm="1">
        <f t="array" ref="AN12">IF(SUMPRODUCT((E12&gt;=E$2:E$27)*(B12&gt;=B$2:B$27)*(F12&gt;=F$2:F$27)*(C12&gt;=C$2:C$27)*(D12&gt;=D$2:D$27)*(ROW(C$2:C$27)&lt;&gt;ROW()))&gt;0,1,0)</f>
        <v>0</v>
      </c>
      <c r="AO12" s="4">
        <v>0</v>
      </c>
    </row>
    <row r="13" spans="1:41" x14ac:dyDescent="0.3">
      <c r="A13" s="5" t="s">
        <v>102</v>
      </c>
      <c r="B13" s="5">
        <v>0</v>
      </c>
      <c r="C13" s="5">
        <v>0</v>
      </c>
      <c r="D13" s="5">
        <v>140</v>
      </c>
      <c r="E13" s="5">
        <v>300</v>
      </c>
      <c r="F13" s="6">
        <v>4.5627326509385302</v>
      </c>
      <c r="G13" s="6">
        <v>2.8462456992679099</v>
      </c>
      <c r="H13" s="6">
        <v>90.047292889758594</v>
      </c>
      <c r="I13" s="7">
        <f t="shared" si="1"/>
        <v>0</v>
      </c>
      <c r="J13" s="7">
        <f t="shared" si="2"/>
        <v>0</v>
      </c>
      <c r="K13" s="6">
        <f t="shared" si="3"/>
        <v>33.130200000000002</v>
      </c>
      <c r="L13" s="4">
        <v>891415.16621904704</v>
      </c>
      <c r="M13" s="4">
        <v>0</v>
      </c>
      <c r="N13" s="4">
        <v>0</v>
      </c>
      <c r="O13" s="4">
        <v>321415.16621904698</v>
      </c>
      <c r="P13" s="4">
        <v>330000</v>
      </c>
      <c r="Q13" s="4">
        <v>240000</v>
      </c>
      <c r="R13" s="4">
        <v>281627.96565168398</v>
      </c>
      <c r="S13" s="4">
        <v>6428.3033243809496</v>
      </c>
      <c r="T13" s="4">
        <v>0</v>
      </c>
      <c r="U13" s="4">
        <v>1200</v>
      </c>
      <c r="V13" s="4">
        <v>0</v>
      </c>
      <c r="W13" s="4">
        <v>3300</v>
      </c>
      <c r="X13" s="4">
        <v>7392</v>
      </c>
      <c r="Y13" s="4">
        <v>111460.65917514999</v>
      </c>
      <c r="Z13" s="4">
        <v>1560047.7846003601</v>
      </c>
      <c r="AA13" s="4">
        <v>1694.1236216663599</v>
      </c>
      <c r="AB13" s="4">
        <v>0</v>
      </c>
      <c r="AC13" s="4">
        <v>623802.86486486404</v>
      </c>
      <c r="AD13" s="8">
        <v>5.1927034101189297E-11</v>
      </c>
      <c r="AE13" s="4">
        <v>90.047292889758594</v>
      </c>
      <c r="AF13" s="4">
        <v>33130200</v>
      </c>
      <c r="AG13" s="4">
        <v>0</v>
      </c>
      <c r="AH13" s="4">
        <v>33130200</v>
      </c>
      <c r="AI13" s="4">
        <v>623286.67962680105</v>
      </c>
      <c r="AJ13" s="4">
        <v>0</v>
      </c>
      <c r="AK13" s="4">
        <v>0</v>
      </c>
      <c r="AL13" s="4">
        <v>520381.75675675599</v>
      </c>
      <c r="AM13" s="4">
        <f t="shared" si="0"/>
        <v>102904.92287004506</v>
      </c>
      <c r="AN13" s="4" cm="1">
        <f t="array" ref="AN13">IF(SUMPRODUCT((E13&gt;=E$2:E$27)*(B13&gt;=B$2:B$27)*(F13&gt;=F$2:F$27)*(C13&gt;=C$2:C$27)*(D13&gt;=D$2:D$27)*(ROW(C$2:C$27)&lt;&gt;ROW()))&gt;0,1,0)</f>
        <v>0</v>
      </c>
      <c r="AO13" s="4">
        <v>0</v>
      </c>
    </row>
    <row r="14" spans="1:41" x14ac:dyDescent="0.3">
      <c r="A14" s="5" t="s">
        <v>103</v>
      </c>
      <c r="B14" s="5">
        <v>260</v>
      </c>
      <c r="C14" s="5">
        <v>0</v>
      </c>
      <c r="D14" s="5">
        <v>130</v>
      </c>
      <c r="E14" s="5">
        <v>400</v>
      </c>
      <c r="F14" s="6">
        <v>4.8136969933787599</v>
      </c>
      <c r="G14" s="6">
        <v>2.8222427461919799</v>
      </c>
      <c r="H14" s="6">
        <v>91.143057958251703</v>
      </c>
      <c r="I14" s="7">
        <f t="shared" si="1"/>
        <v>20.854396462075059</v>
      </c>
      <c r="J14" s="6">
        <f t="shared" si="2"/>
        <v>0.81196686257142792</v>
      </c>
      <c r="K14" s="6">
        <f t="shared" si="3"/>
        <v>24.644448509571401</v>
      </c>
      <c r="L14" s="4">
        <v>1218513.5747529401</v>
      </c>
      <c r="M14" s="4">
        <v>234000</v>
      </c>
      <c r="N14" s="4">
        <v>0</v>
      </c>
      <c r="O14" s="4">
        <v>304513.57475294598</v>
      </c>
      <c r="P14" s="4">
        <v>440000</v>
      </c>
      <c r="Q14" s="4">
        <v>240000</v>
      </c>
      <c r="R14" s="4">
        <v>339735.34123860701</v>
      </c>
      <c r="S14" s="4">
        <v>6090.2714950589298</v>
      </c>
      <c r="T14" s="4">
        <v>3510</v>
      </c>
      <c r="U14" s="4">
        <v>1200</v>
      </c>
      <c r="V14" s="4">
        <v>0</v>
      </c>
      <c r="W14" s="4">
        <v>4400</v>
      </c>
      <c r="X14" s="4">
        <v>6900</v>
      </c>
      <c r="Y14" s="4">
        <v>105599.509099124</v>
      </c>
      <c r="Z14" s="4">
        <v>1170337.5786941501</v>
      </c>
      <c r="AA14" s="4">
        <v>1592.25766838449</v>
      </c>
      <c r="AB14" s="4">
        <v>13535.5152612403</v>
      </c>
      <c r="AC14" s="4">
        <v>586294.22459992196</v>
      </c>
      <c r="AD14" s="8">
        <v>2.07654369889707E-10</v>
      </c>
      <c r="AE14" s="4">
        <v>91.143057958251703</v>
      </c>
      <c r="AF14" s="4">
        <v>31138114.3208571</v>
      </c>
      <c r="AG14" s="4">
        <v>6493665.81128571</v>
      </c>
      <c r="AH14" s="4">
        <v>24644448.5095714</v>
      </c>
      <c r="AI14" s="4">
        <v>585607.77229089395</v>
      </c>
      <c r="AJ14" s="4">
        <v>7305632.6738571404</v>
      </c>
      <c r="AK14" s="4">
        <v>811966.86257142795</v>
      </c>
      <c r="AL14" s="4">
        <v>482702.849420849</v>
      </c>
      <c r="AM14" s="4">
        <f t="shared" si="0"/>
        <v>102904.92287004495</v>
      </c>
      <c r="AN14" s="4" cm="1">
        <f t="array" ref="AN14">IF(SUMPRODUCT((E14&gt;=E$2:E$27)*(B14&gt;=B$2:B$27)*(F14&gt;=F$2:F$27)*(C14&gt;=C$2:C$27)*(D14&gt;=D$2:D$27)*(ROW(C$2:C$27)&lt;&gt;ROW()))&gt;0,1,0)</f>
        <v>0</v>
      </c>
      <c r="AO14" s="4">
        <v>0</v>
      </c>
    </row>
    <row r="15" spans="1:41" x14ac:dyDescent="0.3">
      <c r="A15" s="5" t="s">
        <v>104</v>
      </c>
      <c r="B15" s="5">
        <v>0</v>
      </c>
      <c r="C15" s="5">
        <v>0</v>
      </c>
      <c r="D15" s="5">
        <v>130</v>
      </c>
      <c r="E15" s="5">
        <v>400</v>
      </c>
      <c r="F15" s="6">
        <v>4.87889841525815</v>
      </c>
      <c r="G15" s="6">
        <v>2.8260800367639201</v>
      </c>
      <c r="H15" s="6">
        <v>90.047292889758594</v>
      </c>
      <c r="I15" s="7">
        <f t="shared" si="1"/>
        <v>0</v>
      </c>
      <c r="J15" s="7">
        <f t="shared" si="2"/>
        <v>0</v>
      </c>
      <c r="K15" s="6">
        <f t="shared" si="3"/>
        <v>30.763757142857102</v>
      </c>
      <c r="L15" s="4">
        <v>984513.57475294604</v>
      </c>
      <c r="M15" s="4">
        <v>0</v>
      </c>
      <c r="N15" s="4">
        <v>0</v>
      </c>
      <c r="O15" s="4">
        <v>304513.57475294598</v>
      </c>
      <c r="P15" s="4">
        <v>440000</v>
      </c>
      <c r="Q15" s="4">
        <v>240000</v>
      </c>
      <c r="R15" s="4">
        <v>285778.03813424899</v>
      </c>
      <c r="S15" s="4">
        <v>6090.2714950589298</v>
      </c>
      <c r="T15" s="4">
        <v>0</v>
      </c>
      <c r="U15" s="4">
        <v>1200</v>
      </c>
      <c r="V15" s="4">
        <v>0</v>
      </c>
      <c r="W15" s="4">
        <v>4400</v>
      </c>
      <c r="X15" s="4">
        <v>6900</v>
      </c>
      <c r="Y15" s="4">
        <v>105599.509099124</v>
      </c>
      <c r="Z15" s="4">
        <v>1448615.79998605</v>
      </c>
      <c r="AA15" s="4">
        <v>1573.11479154734</v>
      </c>
      <c r="AB15" s="4">
        <v>0</v>
      </c>
      <c r="AC15" s="4">
        <v>579245.51737451705</v>
      </c>
      <c r="AD15" s="8">
        <v>1.9932151167673899E-10</v>
      </c>
      <c r="AE15" s="4">
        <v>90.047292889758594</v>
      </c>
      <c r="AF15" s="4">
        <v>30763757.142857101</v>
      </c>
      <c r="AG15" s="4">
        <v>0</v>
      </c>
      <c r="AH15" s="4">
        <v>30763757.142857101</v>
      </c>
      <c r="AI15" s="4">
        <v>578558.25877738104</v>
      </c>
      <c r="AJ15" s="4">
        <v>0</v>
      </c>
      <c r="AK15" s="4">
        <v>0</v>
      </c>
      <c r="AL15" s="4">
        <v>475653.33590733598</v>
      </c>
      <c r="AM15" s="4">
        <f t="shared" si="0"/>
        <v>102904.92287004506</v>
      </c>
      <c r="AN15" s="4" cm="1">
        <f t="array" ref="AN15">IF(SUMPRODUCT((E15&gt;=E$2:E$27)*(B15&gt;=B$2:B$27)*(F15&gt;=F$2:F$27)*(C15&gt;=C$2:C$27)*(D15&gt;=D$2:D$27)*(ROW(C$2:C$27)&lt;&gt;ROW()))&gt;0,1,0)</f>
        <v>0</v>
      </c>
      <c r="AO15" s="4">
        <v>0</v>
      </c>
    </row>
    <row r="16" spans="1:41" x14ac:dyDescent="0.3">
      <c r="A16" s="5" t="s">
        <v>105</v>
      </c>
      <c r="B16" s="5">
        <v>240</v>
      </c>
      <c r="C16" s="5">
        <v>0</v>
      </c>
      <c r="D16" s="5">
        <v>120</v>
      </c>
      <c r="E16" s="5">
        <v>500</v>
      </c>
      <c r="F16" s="6">
        <v>5.1771885754614804</v>
      </c>
      <c r="G16" s="6">
        <v>2.8018668567302401</v>
      </c>
      <c r="H16" s="6">
        <v>91.143057958251802</v>
      </c>
      <c r="I16" s="7">
        <f t="shared" si="1"/>
        <v>20.854396462075108</v>
      </c>
      <c r="J16" s="6">
        <f t="shared" si="2"/>
        <v>0.74950787314285694</v>
      </c>
      <c r="K16" s="6">
        <f t="shared" si="3"/>
        <v>22.748721701142799</v>
      </c>
      <c r="L16" s="4">
        <v>1293306.4615865799</v>
      </c>
      <c r="M16" s="4">
        <v>216000</v>
      </c>
      <c r="N16" s="4">
        <v>0</v>
      </c>
      <c r="O16" s="4">
        <v>287306.46158658899</v>
      </c>
      <c r="P16" s="4">
        <v>550000</v>
      </c>
      <c r="Q16" s="4">
        <v>240000</v>
      </c>
      <c r="R16" s="4">
        <v>339640.91959641699</v>
      </c>
      <c r="S16" s="4">
        <v>5746.1292317317802</v>
      </c>
      <c r="T16" s="4">
        <v>3240</v>
      </c>
      <c r="U16" s="4">
        <v>1200</v>
      </c>
      <c r="V16" s="4">
        <v>0</v>
      </c>
      <c r="W16" s="4">
        <v>5500</v>
      </c>
      <c r="X16" s="4">
        <v>6408</v>
      </c>
      <c r="Y16" s="4">
        <v>99632.409915271593</v>
      </c>
      <c r="Z16" s="4">
        <v>1080311.61110229</v>
      </c>
      <c r="AA16" s="4">
        <v>1469.7763092779901</v>
      </c>
      <c r="AB16" s="4">
        <v>12494.3217796064</v>
      </c>
      <c r="AC16" s="4">
        <v>541194.66886146704</v>
      </c>
      <c r="AD16" s="8">
        <v>1.2963059197496799E-10</v>
      </c>
      <c r="AE16" s="4">
        <v>91.143057958251802</v>
      </c>
      <c r="AF16" s="4">
        <v>28742874.757714201</v>
      </c>
      <c r="AG16" s="4">
        <v>5994153.0565714296</v>
      </c>
      <c r="AH16" s="4">
        <v>22748721.701142799</v>
      </c>
      <c r="AI16" s="4">
        <v>540333.04642216803</v>
      </c>
      <c r="AJ16" s="4">
        <v>6743660.9297142802</v>
      </c>
      <c r="AK16" s="4">
        <v>749507.87314285699</v>
      </c>
      <c r="AL16" s="4">
        <v>437428.12355212303</v>
      </c>
      <c r="AM16" s="4">
        <f t="shared" si="0"/>
        <v>102904.922870045</v>
      </c>
      <c r="AN16" s="4" cm="1">
        <f t="array" ref="AN16">IF(SUMPRODUCT((E16&gt;=E$2:E$27)*(B16&gt;=B$2:B$27)*(F16&gt;=F$2:F$27)*(C16&gt;=C$2:C$27)*(D16&gt;=D$2:D$27)*(ROW(C$2:C$27)&lt;&gt;ROW()))&gt;0,1,0)</f>
        <v>0</v>
      </c>
      <c r="AO16" s="4">
        <v>0</v>
      </c>
    </row>
    <row r="17" spans="1:41" x14ac:dyDescent="0.3">
      <c r="A17" s="5" t="s">
        <v>106</v>
      </c>
      <c r="B17" s="5">
        <v>0</v>
      </c>
      <c r="C17" s="5">
        <v>0</v>
      </c>
      <c r="D17" s="5">
        <v>120</v>
      </c>
      <c r="E17" s="5">
        <v>500</v>
      </c>
      <c r="F17" s="6">
        <v>5.2468132438989299</v>
      </c>
      <c r="G17" s="6">
        <v>2.80540897110434</v>
      </c>
      <c r="H17" s="6">
        <v>90.047292889758594</v>
      </c>
      <c r="I17" s="7">
        <f t="shared" si="1"/>
        <v>0</v>
      </c>
      <c r="J17" s="7">
        <f t="shared" si="2"/>
        <v>0</v>
      </c>
      <c r="K17" s="6">
        <f t="shared" si="3"/>
        <v>28.397314285714202</v>
      </c>
      <c r="L17" s="4">
        <v>1077306.4615865799</v>
      </c>
      <c r="M17" s="4">
        <v>0</v>
      </c>
      <c r="N17" s="4">
        <v>0</v>
      </c>
      <c r="O17" s="4">
        <v>287306.46158658899</v>
      </c>
      <c r="P17" s="4">
        <v>550000</v>
      </c>
      <c r="Q17" s="4">
        <v>240000</v>
      </c>
      <c r="R17" s="4">
        <v>289834.17826931598</v>
      </c>
      <c r="S17" s="4">
        <v>5746.1292317317802</v>
      </c>
      <c r="T17" s="4">
        <v>0</v>
      </c>
      <c r="U17" s="4">
        <v>1200</v>
      </c>
      <c r="V17" s="4">
        <v>0</v>
      </c>
      <c r="W17" s="4">
        <v>5500</v>
      </c>
      <c r="X17" s="4">
        <v>6408</v>
      </c>
      <c r="Y17" s="4">
        <v>99632.409915271593</v>
      </c>
      <c r="Z17" s="4">
        <v>1337183.8153717399</v>
      </c>
      <c r="AA17" s="4">
        <v>1452.1059614283099</v>
      </c>
      <c r="AB17" s="4">
        <v>0</v>
      </c>
      <c r="AC17" s="4">
        <v>534688.16988417006</v>
      </c>
      <c r="AD17" s="8">
        <v>9.5196707659640902E-11</v>
      </c>
      <c r="AE17" s="4">
        <v>90.047292889758594</v>
      </c>
      <c r="AF17" s="4">
        <v>28397314.285714202</v>
      </c>
      <c r="AG17" s="4">
        <v>0</v>
      </c>
      <c r="AH17" s="4">
        <v>28397314.285714202</v>
      </c>
      <c r="AI17" s="4">
        <v>533830.64487776696</v>
      </c>
      <c r="AJ17" s="4">
        <v>0</v>
      </c>
      <c r="AK17" s="4">
        <v>0</v>
      </c>
      <c r="AL17" s="4">
        <v>430925.72200772201</v>
      </c>
      <c r="AM17" s="4">
        <f t="shared" si="0"/>
        <v>102904.92287004495</v>
      </c>
      <c r="AN17" s="4" cm="1">
        <f t="array" ref="AN17">IF(SUMPRODUCT((E17&gt;=E$2:E$27)*(B17&gt;=B$2:B$27)*(F17&gt;=F$2:F$27)*(C17&gt;=C$2:C$27)*(D17&gt;=D$2:D$27)*(ROW(C$2:C$27)&lt;&gt;ROW()))&gt;0,1,0)</f>
        <v>0</v>
      </c>
      <c r="AO17" s="4">
        <v>0</v>
      </c>
    </row>
    <row r="18" spans="1:41" x14ac:dyDescent="0.3">
      <c r="A18" s="5" t="s">
        <v>107</v>
      </c>
      <c r="B18" s="5">
        <v>220</v>
      </c>
      <c r="C18" s="5">
        <v>0</v>
      </c>
      <c r="D18" s="5">
        <v>110</v>
      </c>
      <c r="E18" s="5">
        <v>600</v>
      </c>
      <c r="F18" s="6">
        <v>5.6056316531959398</v>
      </c>
      <c r="G18" s="6">
        <v>2.7809264691181701</v>
      </c>
      <c r="H18" s="6">
        <v>91.143057958251802</v>
      </c>
      <c r="I18" s="7">
        <f t="shared" si="1"/>
        <v>20.854396462075055</v>
      </c>
      <c r="J18" s="6">
        <f t="shared" si="2"/>
        <v>0.68704888371428496</v>
      </c>
      <c r="K18" s="6">
        <f t="shared" si="3"/>
        <v>20.8529948927142</v>
      </c>
      <c r="L18" s="4">
        <v>1367758.1031533999</v>
      </c>
      <c r="M18" s="4">
        <v>198000</v>
      </c>
      <c r="N18" s="4">
        <v>0</v>
      </c>
      <c r="O18" s="4">
        <v>269758.10315339902</v>
      </c>
      <c r="P18" s="4">
        <v>660000</v>
      </c>
      <c r="Q18" s="4">
        <v>240000</v>
      </c>
      <c r="R18" s="4">
        <v>339441.58243117499</v>
      </c>
      <c r="S18" s="4">
        <v>5395.1620630679899</v>
      </c>
      <c r="T18" s="4">
        <v>2970</v>
      </c>
      <c r="U18" s="4">
        <v>1200</v>
      </c>
      <c r="V18" s="4">
        <v>0</v>
      </c>
      <c r="W18" s="4">
        <v>6600</v>
      </c>
      <c r="X18" s="4">
        <v>5915.99999999999</v>
      </c>
      <c r="Y18" s="4">
        <v>93546.973370960797</v>
      </c>
      <c r="Z18" s="4">
        <v>990285.64351044095</v>
      </c>
      <c r="AA18" s="4">
        <v>1347.29495017149</v>
      </c>
      <c r="AB18" s="4">
        <v>11453.1282979725</v>
      </c>
      <c r="AC18" s="4">
        <v>496095.11312301102</v>
      </c>
      <c r="AD18" s="8">
        <v>1.0849511765189E-10</v>
      </c>
      <c r="AE18" s="4">
        <v>91.143057958251802</v>
      </c>
      <c r="AF18" s="4">
        <v>26347635.194571398</v>
      </c>
      <c r="AG18" s="4">
        <v>5494640.3018571399</v>
      </c>
      <c r="AH18" s="4">
        <v>20852994.892714199</v>
      </c>
      <c r="AI18" s="4">
        <v>495066.39005151199</v>
      </c>
      <c r="AJ18" s="4">
        <v>6181689.18557142</v>
      </c>
      <c r="AK18" s="4">
        <v>687048.88371428498</v>
      </c>
      <c r="AL18" s="4">
        <v>392161.46718146699</v>
      </c>
      <c r="AM18" s="4">
        <f t="shared" si="0"/>
        <v>102904.922870045</v>
      </c>
      <c r="AN18" s="4" cm="1">
        <f t="array" ref="AN18">IF(SUMPRODUCT((E18&gt;=E$2:E$27)*(B18&gt;=B$2:B$27)*(F18&gt;=F$2:F$27)*(C18&gt;=C$2:C$27)*(D18&gt;=D$2:D$27)*(ROW(C$2:C$27)&lt;&gt;ROW()))&gt;0,1,0)</f>
        <v>0</v>
      </c>
      <c r="AO18" s="4">
        <v>0</v>
      </c>
    </row>
    <row r="19" spans="1:41" x14ac:dyDescent="0.3">
      <c r="A19" s="5" t="s">
        <v>108</v>
      </c>
      <c r="B19" s="5">
        <v>0</v>
      </c>
      <c r="C19" s="5">
        <v>0</v>
      </c>
      <c r="D19" s="5">
        <v>110</v>
      </c>
      <c r="E19" s="5">
        <v>600</v>
      </c>
      <c r="F19" s="6">
        <v>5.68046994819953</v>
      </c>
      <c r="G19" s="6">
        <v>2.7841734072944297</v>
      </c>
      <c r="H19" s="6">
        <v>90.047292889758594</v>
      </c>
      <c r="I19" s="7">
        <f t="shared" si="1"/>
        <v>0</v>
      </c>
      <c r="J19" s="7">
        <f t="shared" si="2"/>
        <v>0</v>
      </c>
      <c r="K19" s="6">
        <f t="shared" si="3"/>
        <v>26.030871428571398</v>
      </c>
      <c r="L19" s="4">
        <v>1169758.1031533999</v>
      </c>
      <c r="M19" s="4">
        <v>0</v>
      </c>
      <c r="N19" s="4">
        <v>0</v>
      </c>
      <c r="O19" s="4">
        <v>269758.10315339902</v>
      </c>
      <c r="P19" s="4">
        <v>660000</v>
      </c>
      <c r="Q19" s="4">
        <v>240000</v>
      </c>
      <c r="R19" s="4">
        <v>293785.40288133302</v>
      </c>
      <c r="S19" s="4">
        <v>5395.1620630679899</v>
      </c>
      <c r="T19" s="4">
        <v>0</v>
      </c>
      <c r="U19" s="4">
        <v>1200</v>
      </c>
      <c r="V19" s="4">
        <v>0</v>
      </c>
      <c r="W19" s="4">
        <v>6600</v>
      </c>
      <c r="X19" s="4">
        <v>5915.99999999999</v>
      </c>
      <c r="Y19" s="4">
        <v>93546.973370960797</v>
      </c>
      <c r="Z19" s="4">
        <v>1225751.83075742</v>
      </c>
      <c r="AA19" s="4">
        <v>1331.09713130928</v>
      </c>
      <c r="AB19" s="4">
        <v>0</v>
      </c>
      <c r="AC19" s="4">
        <v>490130.82239382202</v>
      </c>
      <c r="AD19" s="8">
        <v>8.4284959963757197E-11</v>
      </c>
      <c r="AE19" s="4">
        <v>90.047292889758594</v>
      </c>
      <c r="AF19" s="4">
        <v>26030871.428571399</v>
      </c>
      <c r="AG19" s="4">
        <v>0</v>
      </c>
      <c r="AH19" s="4">
        <v>26030871.428571399</v>
      </c>
      <c r="AI19" s="4">
        <v>489101.41707853897</v>
      </c>
      <c r="AJ19" s="4">
        <v>0</v>
      </c>
      <c r="AK19" s="4">
        <v>0</v>
      </c>
      <c r="AL19" s="4">
        <v>386196.49420849403</v>
      </c>
      <c r="AM19" s="4">
        <f t="shared" si="0"/>
        <v>102904.92287004495</v>
      </c>
      <c r="AN19" s="4" cm="1">
        <f t="array" ref="AN19">IF(SUMPRODUCT((E19&gt;=E$2:E$27)*(B19&gt;=B$2:B$27)*(F19&gt;=F$2:F$27)*(C19&gt;=C$2:C$27)*(D19&gt;=D$2:D$27)*(ROW(C$2:C$27)&lt;&gt;ROW()))&gt;0,1,0)</f>
        <v>0</v>
      </c>
      <c r="AO19" s="4">
        <v>0</v>
      </c>
    </row>
    <row r="20" spans="1:41" x14ac:dyDescent="0.3">
      <c r="A20" s="5" t="s">
        <v>109</v>
      </c>
      <c r="B20" s="5">
        <v>200</v>
      </c>
      <c r="C20" s="5">
        <v>0</v>
      </c>
      <c r="D20" s="5">
        <v>100</v>
      </c>
      <c r="E20" s="5">
        <v>800</v>
      </c>
      <c r="F20" s="6">
        <v>6.3997507123329296</v>
      </c>
      <c r="G20" s="6">
        <v>2.8862591396307899</v>
      </c>
      <c r="H20" s="6">
        <v>91.143057958251802</v>
      </c>
      <c r="I20" s="7">
        <f t="shared" si="1"/>
        <v>20.854396462075076</v>
      </c>
      <c r="J20" s="6">
        <f t="shared" si="2"/>
        <v>0.62458989428571399</v>
      </c>
      <c r="K20" s="6">
        <f t="shared" si="3"/>
        <v>18.957268084285698</v>
      </c>
      <c r="L20" s="4">
        <v>1551824.89012729</v>
      </c>
      <c r="M20" s="4">
        <v>180000</v>
      </c>
      <c r="N20" s="4">
        <v>0</v>
      </c>
      <c r="O20" s="4">
        <v>251824.890127297</v>
      </c>
      <c r="P20" s="4">
        <v>880000</v>
      </c>
      <c r="Q20" s="4">
        <v>240000</v>
      </c>
      <c r="R20" s="4">
        <v>356033.61822786502</v>
      </c>
      <c r="S20" s="4">
        <v>5036.4978025459504</v>
      </c>
      <c r="T20" s="4">
        <v>2700</v>
      </c>
      <c r="U20" s="4">
        <v>1200</v>
      </c>
      <c r="V20" s="4">
        <v>0</v>
      </c>
      <c r="W20" s="4">
        <v>8800</v>
      </c>
      <c r="X20" s="4">
        <v>5423.99999999999</v>
      </c>
      <c r="Y20" s="4">
        <v>87328.076582327296</v>
      </c>
      <c r="Z20" s="4">
        <v>900259.67591858201</v>
      </c>
      <c r="AA20" s="4">
        <v>1224.8135910649901</v>
      </c>
      <c r="AB20" s="4">
        <v>10411.9348163387</v>
      </c>
      <c r="AC20" s="4">
        <v>450995.55738455598</v>
      </c>
      <c r="AD20" s="8">
        <v>2.1455694364038E-10</v>
      </c>
      <c r="AE20" s="4">
        <v>91.143057958251802</v>
      </c>
      <c r="AF20" s="4">
        <v>23952395.631428499</v>
      </c>
      <c r="AG20" s="4">
        <v>4995127.5471428502</v>
      </c>
      <c r="AH20" s="4">
        <v>18957268.084285699</v>
      </c>
      <c r="AI20" s="4">
        <v>449623.01167313301</v>
      </c>
      <c r="AJ20" s="4">
        <v>5619717.4414285701</v>
      </c>
      <c r="AK20" s="4">
        <v>624589.89428571402</v>
      </c>
      <c r="AL20" s="4">
        <v>346718.088803088</v>
      </c>
      <c r="AM20" s="4">
        <f t="shared" si="0"/>
        <v>102904.922870045</v>
      </c>
      <c r="AN20" s="4" cm="1">
        <f t="array" ref="AN20">IF(SUMPRODUCT((E20&gt;=E$2:E$27)*(B20&gt;=B$2:B$27)*(F20&gt;=F$2:F$27)*(C20&gt;=C$2:C$27)*(D20&gt;=D$2:D$27)*(ROW(C$2:C$27)&lt;&gt;ROW()))&gt;0,1,0)</f>
        <v>0</v>
      </c>
      <c r="AO20" s="4">
        <v>0</v>
      </c>
    </row>
    <row r="21" spans="1:41" x14ac:dyDescent="0.3">
      <c r="A21" s="5" t="s">
        <v>110</v>
      </c>
      <c r="B21" s="5">
        <v>0</v>
      </c>
      <c r="C21" s="5">
        <v>0</v>
      </c>
      <c r="D21" s="5">
        <v>100</v>
      </c>
      <c r="E21" s="5">
        <v>800</v>
      </c>
      <c r="F21" s="6">
        <v>6.4842524619202404</v>
      </c>
      <c r="G21" s="6">
        <v>2.8892109016092098</v>
      </c>
      <c r="H21" s="6">
        <v>90.047292889758594</v>
      </c>
      <c r="I21" s="7">
        <f t="shared" si="1"/>
        <v>0</v>
      </c>
      <c r="J21" s="7">
        <f t="shared" si="2"/>
        <v>0</v>
      </c>
      <c r="K21" s="6">
        <f t="shared" si="3"/>
        <v>23.664428571428502</v>
      </c>
      <c r="L21" s="4">
        <v>1371824.89012729</v>
      </c>
      <c r="M21" s="4">
        <v>0</v>
      </c>
      <c r="N21" s="4">
        <v>0</v>
      </c>
      <c r="O21" s="4">
        <v>251824.890127297</v>
      </c>
      <c r="P21" s="4">
        <v>880000</v>
      </c>
      <c r="Q21" s="4">
        <v>240000</v>
      </c>
      <c r="R21" s="4">
        <v>314528.000455281</v>
      </c>
      <c r="S21" s="4">
        <v>5036.4978025459504</v>
      </c>
      <c r="T21" s="4">
        <v>0</v>
      </c>
      <c r="U21" s="4">
        <v>1200</v>
      </c>
      <c r="V21" s="4">
        <v>0</v>
      </c>
      <c r="W21" s="4">
        <v>8800</v>
      </c>
      <c r="X21" s="4">
        <v>5423.99999999999</v>
      </c>
      <c r="Y21" s="4">
        <v>87328.076582327296</v>
      </c>
      <c r="Z21" s="4">
        <v>1114319.84614311</v>
      </c>
      <c r="AA21" s="4">
        <v>1210.0883011902599</v>
      </c>
      <c r="AB21" s="4">
        <v>0</v>
      </c>
      <c r="AC21" s="4">
        <v>445573.47490347398</v>
      </c>
      <c r="AD21" s="8">
        <v>1.74884868491582E-10</v>
      </c>
      <c r="AE21" s="4">
        <v>90.047292889758594</v>
      </c>
      <c r="AF21" s="4">
        <v>23664428.5714285</v>
      </c>
      <c r="AG21" s="4">
        <v>0</v>
      </c>
      <c r="AH21" s="4">
        <v>23664428.5714285</v>
      </c>
      <c r="AI21" s="4">
        <v>444200.30897043098</v>
      </c>
      <c r="AJ21" s="4">
        <v>0</v>
      </c>
      <c r="AK21" s="4">
        <v>0</v>
      </c>
      <c r="AL21" s="4">
        <v>341295.38610038598</v>
      </c>
      <c r="AM21" s="4">
        <f t="shared" si="0"/>
        <v>102904.922870045</v>
      </c>
      <c r="AN21" s="4" cm="1">
        <f t="array" ref="AN21">IF(SUMPRODUCT((E21&gt;=E$2:E$27)*(B21&gt;=B$2:B$27)*(F21&gt;=F$2:F$27)*(C21&gt;=C$2:C$27)*(D21&gt;=D$2:D$27)*(ROW(C$2:C$27)&lt;&gt;ROW()))&gt;0,1,0)</f>
        <v>0</v>
      </c>
      <c r="AO21" s="4">
        <v>0</v>
      </c>
    </row>
    <row r="22" spans="1:41" x14ac:dyDescent="0.3">
      <c r="A22" s="5" t="s">
        <v>111</v>
      </c>
      <c r="B22" s="5">
        <v>180</v>
      </c>
      <c r="C22" s="5">
        <v>0</v>
      </c>
      <c r="D22" s="5">
        <v>90</v>
      </c>
      <c r="E22" s="5">
        <v>900</v>
      </c>
      <c r="F22" s="6">
        <v>7.0558856560514798</v>
      </c>
      <c r="G22" s="6">
        <v>2.8639557758633698</v>
      </c>
      <c r="H22" s="6">
        <v>91.143057958251703</v>
      </c>
      <c r="I22" s="7">
        <f t="shared" si="1"/>
        <v>20.854396462075048</v>
      </c>
      <c r="J22" s="6">
        <f t="shared" si="2"/>
        <v>0.56213090485714201</v>
      </c>
      <c r="K22" s="6">
        <f t="shared" si="3"/>
        <v>17.061541275857099</v>
      </c>
      <c r="L22" s="4">
        <v>1625452.5977954001</v>
      </c>
      <c r="M22" s="4">
        <v>162000</v>
      </c>
      <c r="N22" s="4">
        <v>0</v>
      </c>
      <c r="O22" s="4">
        <v>233452.59779540499</v>
      </c>
      <c r="P22" s="4">
        <v>990000</v>
      </c>
      <c r="Q22" s="4">
        <v>240000</v>
      </c>
      <c r="R22" s="4">
        <v>355580.963392479</v>
      </c>
      <c r="S22" s="4">
        <v>4669.0519559081104</v>
      </c>
      <c r="T22" s="4">
        <v>2430</v>
      </c>
      <c r="U22" s="4">
        <v>1200</v>
      </c>
      <c r="V22" s="4">
        <v>0</v>
      </c>
      <c r="W22" s="4">
        <v>9900</v>
      </c>
      <c r="X22" s="4">
        <v>4931.99999999999</v>
      </c>
      <c r="Y22" s="4">
        <v>80956.915451506007</v>
      </c>
      <c r="Z22" s="4">
        <v>810233.70832672401</v>
      </c>
      <c r="AA22" s="4">
        <v>1102.33223195849</v>
      </c>
      <c r="AB22" s="4">
        <v>9370.7413347048496</v>
      </c>
      <c r="AC22" s="4">
        <v>405896.00164610002</v>
      </c>
      <c r="AD22" s="8">
        <v>2.85486872237632E-10</v>
      </c>
      <c r="AE22" s="4">
        <v>91.143057958251703</v>
      </c>
      <c r="AF22" s="4">
        <v>21557156.0682857</v>
      </c>
      <c r="AG22" s="4">
        <v>4495614.7924285699</v>
      </c>
      <c r="AH22" s="4">
        <v>17061541.275857098</v>
      </c>
      <c r="AI22" s="4">
        <v>404351.51360363502</v>
      </c>
      <c r="AJ22" s="4">
        <v>5057745.6972857099</v>
      </c>
      <c r="AK22" s="4">
        <v>562130.90485714201</v>
      </c>
      <c r="AL22" s="4">
        <v>301446.59073359001</v>
      </c>
      <c r="AM22" s="4">
        <f t="shared" si="0"/>
        <v>102904.922870045</v>
      </c>
      <c r="AN22" s="4" cm="1">
        <f t="array" ref="AN22">IF(SUMPRODUCT((E22&gt;=E$2:E$27)*(B22&gt;=B$2:B$27)*(F22&gt;=F$2:F$27)*(C22&gt;=C$2:C$27)*(D22&gt;=D$2:D$27)*(ROW(C$2:C$27)&lt;&gt;ROW()))&gt;0,1,0)</f>
        <v>0</v>
      </c>
      <c r="AO22" s="4">
        <v>0</v>
      </c>
    </row>
    <row r="23" spans="1:41" x14ac:dyDescent="0.3">
      <c r="A23" s="5" t="s">
        <v>112</v>
      </c>
      <c r="B23" s="5">
        <v>0</v>
      </c>
      <c r="C23" s="5">
        <v>0</v>
      </c>
      <c r="D23" s="5">
        <v>90</v>
      </c>
      <c r="E23" s="5">
        <v>900</v>
      </c>
      <c r="F23" s="6">
        <v>7.1483717628412302</v>
      </c>
      <c r="G23" s="6">
        <v>2.8666123616439401</v>
      </c>
      <c r="H23" s="6">
        <v>90.047292889758594</v>
      </c>
      <c r="I23" s="7">
        <f t="shared" si="1"/>
        <v>0</v>
      </c>
      <c r="J23" s="7">
        <f t="shared" si="2"/>
        <v>0</v>
      </c>
      <c r="K23" s="6">
        <f t="shared" si="3"/>
        <v>21.297985714285701</v>
      </c>
      <c r="L23" s="4">
        <v>1463452.5977954001</v>
      </c>
      <c r="M23" s="4">
        <v>0</v>
      </c>
      <c r="N23" s="4">
        <v>0</v>
      </c>
      <c r="O23" s="4">
        <v>233452.59779540499</v>
      </c>
      <c r="P23" s="4">
        <v>990000</v>
      </c>
      <c r="Q23" s="4">
        <v>240000</v>
      </c>
      <c r="R23" s="4">
        <v>318225.90739715402</v>
      </c>
      <c r="S23" s="4">
        <v>4669.0519559081104</v>
      </c>
      <c r="T23" s="4">
        <v>0</v>
      </c>
      <c r="U23" s="4">
        <v>1200</v>
      </c>
      <c r="V23" s="4">
        <v>0</v>
      </c>
      <c r="W23" s="4">
        <v>9900</v>
      </c>
      <c r="X23" s="4">
        <v>4931.99999999999</v>
      </c>
      <c r="Y23" s="4">
        <v>80956.915451506007</v>
      </c>
      <c r="Z23" s="4">
        <v>1002887.8615288</v>
      </c>
      <c r="AA23" s="4">
        <v>1089.07947107123</v>
      </c>
      <c r="AB23" s="4">
        <v>0</v>
      </c>
      <c r="AC23" s="4">
        <v>401016.12741312699</v>
      </c>
      <c r="AD23" s="8">
        <v>2.5920884486448998E-10</v>
      </c>
      <c r="AE23" s="4">
        <v>90.047292889758594</v>
      </c>
      <c r="AF23" s="4">
        <v>21297985.714285702</v>
      </c>
      <c r="AG23" s="4">
        <v>0</v>
      </c>
      <c r="AH23" s="4">
        <v>21297985.714285702</v>
      </c>
      <c r="AI23" s="4">
        <v>399471.081171203</v>
      </c>
      <c r="AJ23" s="4">
        <v>0</v>
      </c>
      <c r="AK23" s="4">
        <v>0</v>
      </c>
      <c r="AL23" s="4">
        <v>296566.15830115799</v>
      </c>
      <c r="AM23" s="4">
        <f t="shared" si="0"/>
        <v>102904.922870045</v>
      </c>
      <c r="AN23" s="4" cm="1">
        <f t="array" ref="AN23">IF(SUMPRODUCT((E23&gt;=E$2:E$27)*(B23&gt;=B$2:B$27)*(F23&gt;=F$2:F$27)*(C23&gt;=C$2:C$27)*(D23&gt;=D$2:D$27)*(ROW(C$2:C$27)&lt;&gt;ROW()))&gt;0,1,0)</f>
        <v>0</v>
      </c>
      <c r="AO23" s="4">
        <v>0</v>
      </c>
    </row>
    <row r="24" spans="1:41" x14ac:dyDescent="0.3">
      <c r="A24" s="5" t="s">
        <v>113</v>
      </c>
      <c r="B24" s="5">
        <v>160</v>
      </c>
      <c r="C24" s="5">
        <v>0</v>
      </c>
      <c r="D24" s="5">
        <v>80</v>
      </c>
      <c r="E24" s="5">
        <v>1100</v>
      </c>
      <c r="F24" s="6">
        <v>8.2254738563467402</v>
      </c>
      <c r="G24" s="6">
        <v>2.9677217332761501</v>
      </c>
      <c r="H24" s="6">
        <v>91.143057958251802</v>
      </c>
      <c r="I24" s="7">
        <f t="shared" si="1"/>
        <v>20.854396462075073</v>
      </c>
      <c r="J24" s="6">
        <f t="shared" si="2"/>
        <v>0.49967191542857098</v>
      </c>
      <c r="K24" s="6">
        <f t="shared" si="3"/>
        <v>15.1658144674285</v>
      </c>
      <c r="L24" s="4">
        <v>1808572.2896734499</v>
      </c>
      <c r="M24" s="4">
        <v>144000</v>
      </c>
      <c r="N24" s="4">
        <v>0</v>
      </c>
      <c r="O24" s="4">
        <v>214572.289673455</v>
      </c>
      <c r="P24" s="4">
        <v>1210000</v>
      </c>
      <c r="Q24" s="4">
        <v>240000</v>
      </c>
      <c r="R24" s="4">
        <v>371881.81572959397</v>
      </c>
      <c r="S24" s="4">
        <v>4291.44579346911</v>
      </c>
      <c r="T24" s="4">
        <v>2160</v>
      </c>
      <c r="U24" s="4">
        <v>1200</v>
      </c>
      <c r="V24" s="4">
        <v>0</v>
      </c>
      <c r="W24" s="4">
        <v>12100</v>
      </c>
      <c r="X24" s="4">
        <v>4440</v>
      </c>
      <c r="Y24" s="4">
        <v>74409.584118458893</v>
      </c>
      <c r="Z24" s="4">
        <v>720207.74073486601</v>
      </c>
      <c r="AA24" s="4">
        <v>979.85087285199404</v>
      </c>
      <c r="AB24" s="4">
        <v>8329.5478530709806</v>
      </c>
      <c r="AC24" s="4">
        <v>360796.445907644</v>
      </c>
      <c r="AD24" s="8">
        <v>3.7675243877036498E-10</v>
      </c>
      <c r="AE24" s="4">
        <v>91.143057958251802</v>
      </c>
      <c r="AF24" s="4">
        <v>19161916.505142801</v>
      </c>
      <c r="AG24" s="4">
        <v>3996102.0377142802</v>
      </c>
      <c r="AH24" s="4">
        <v>15165814.4674285</v>
      </c>
      <c r="AI24" s="4">
        <v>358908.13522525702</v>
      </c>
      <c r="AJ24" s="4">
        <v>4495773.9531428497</v>
      </c>
      <c r="AK24" s="4">
        <v>499671.915428571</v>
      </c>
      <c r="AL24" s="4">
        <v>256003.21235521199</v>
      </c>
      <c r="AM24" s="4">
        <f t="shared" si="0"/>
        <v>102904.92287004503</v>
      </c>
      <c r="AN24" s="4" cm="1">
        <f t="array" ref="AN24">IF(SUMPRODUCT((E24&gt;=E$2:E$27)*(B24&gt;=B$2:B$27)*(F24&gt;=F$2:F$27)*(C24&gt;=C$2:C$27)*(D24&gt;=D$2:D$27)*(ROW(C$2:C$27)&lt;&gt;ROW()))&gt;0,1,0)</f>
        <v>0</v>
      </c>
      <c r="AO24" s="4">
        <v>0</v>
      </c>
    </row>
    <row r="25" spans="1:41" x14ac:dyDescent="0.3">
      <c r="A25" s="5" t="s">
        <v>114</v>
      </c>
      <c r="B25" s="5">
        <v>0</v>
      </c>
      <c r="C25" s="5">
        <v>0</v>
      </c>
      <c r="D25" s="5">
        <v>80</v>
      </c>
      <c r="E25" s="5">
        <v>1100</v>
      </c>
      <c r="F25" s="6">
        <v>8.3321924164760297</v>
      </c>
      <c r="G25" s="6">
        <v>2.9700831428588801</v>
      </c>
      <c r="H25" s="6">
        <v>90.047292889758594</v>
      </c>
      <c r="I25" s="7">
        <f t="shared" si="1"/>
        <v>0</v>
      </c>
      <c r="J25" s="7">
        <f t="shared" si="2"/>
        <v>0</v>
      </c>
      <c r="K25" s="6">
        <f t="shared" si="3"/>
        <v>18.931542857142798</v>
      </c>
      <c r="L25" s="4">
        <v>1664572.2896734499</v>
      </c>
      <c r="M25" s="4">
        <v>0</v>
      </c>
      <c r="N25" s="4">
        <v>0</v>
      </c>
      <c r="O25" s="4">
        <v>214572.289673455</v>
      </c>
      <c r="P25" s="4">
        <v>1210000</v>
      </c>
      <c r="Q25" s="4">
        <v>240000</v>
      </c>
      <c r="R25" s="4">
        <v>338677.321511527</v>
      </c>
      <c r="S25" s="4">
        <v>4291.44579346911</v>
      </c>
      <c r="T25" s="4">
        <v>0</v>
      </c>
      <c r="U25" s="4">
        <v>1200</v>
      </c>
      <c r="V25" s="4">
        <v>0</v>
      </c>
      <c r="W25" s="4">
        <v>12100</v>
      </c>
      <c r="X25" s="4">
        <v>4440</v>
      </c>
      <c r="Y25" s="4">
        <v>74409.584118458893</v>
      </c>
      <c r="Z25" s="4">
        <v>891455.87691449397</v>
      </c>
      <c r="AA25" s="4">
        <v>968.07064095220903</v>
      </c>
      <c r="AB25" s="4">
        <v>0</v>
      </c>
      <c r="AC25" s="4">
        <v>356458.77992278</v>
      </c>
      <c r="AD25" s="8">
        <v>3.6251049781047301E-10</v>
      </c>
      <c r="AE25" s="4">
        <v>90.047292889758594</v>
      </c>
      <c r="AF25" s="4">
        <v>18931542.857142799</v>
      </c>
      <c r="AG25" s="4">
        <v>0</v>
      </c>
      <c r="AH25" s="4">
        <v>18931542.857142799</v>
      </c>
      <c r="AI25" s="4">
        <v>354569.97306309501</v>
      </c>
      <c r="AJ25" s="4">
        <v>0</v>
      </c>
      <c r="AK25" s="4">
        <v>0</v>
      </c>
      <c r="AL25" s="4">
        <v>251665.05019305</v>
      </c>
      <c r="AM25" s="4">
        <f t="shared" si="0"/>
        <v>102904.922870045</v>
      </c>
      <c r="AN25" s="4" cm="1">
        <f t="array" ref="AN25">IF(SUMPRODUCT((E25&gt;=E$2:E$27)*(B25&gt;=B$2:B$27)*(F25&gt;=F$2:F$27)*(C25&gt;=C$2:C$27)*(D25&gt;=D$2:D$27)*(ROW(C$2:C$27)&lt;&gt;ROW()))&gt;0,1,0)</f>
        <v>0</v>
      </c>
      <c r="AO25" s="4">
        <v>0</v>
      </c>
    </row>
    <row r="26" spans="1:41" x14ac:dyDescent="0.3">
      <c r="A26" s="5" t="s">
        <v>115</v>
      </c>
      <c r="B26" s="5">
        <v>140</v>
      </c>
      <c r="C26" s="5">
        <v>0</v>
      </c>
      <c r="D26" s="5">
        <v>70</v>
      </c>
      <c r="E26" s="5">
        <v>1200</v>
      </c>
      <c r="F26" s="6">
        <v>9.3240976606869097</v>
      </c>
      <c r="G26" s="6">
        <v>2.9435886351126697</v>
      </c>
      <c r="H26" s="6">
        <v>91.143057958251802</v>
      </c>
      <c r="I26" s="7">
        <f t="shared" si="1"/>
        <v>20.854396462075041</v>
      </c>
      <c r="J26" s="6">
        <f t="shared" si="2"/>
        <v>0.437212926</v>
      </c>
      <c r="K26" s="6">
        <f t="shared" si="3"/>
        <v>13.2700876589999</v>
      </c>
      <c r="L26" s="4">
        <v>1881093.9030136401</v>
      </c>
      <c r="M26" s="4">
        <v>126000</v>
      </c>
      <c r="N26" s="4">
        <v>0</v>
      </c>
      <c r="O26" s="4">
        <v>195093.903013642</v>
      </c>
      <c r="P26" s="4">
        <v>1320000</v>
      </c>
      <c r="Q26" s="4">
        <v>240000</v>
      </c>
      <c r="R26" s="4">
        <v>371089.093276467</v>
      </c>
      <c r="S26" s="4">
        <v>3901.8780602728498</v>
      </c>
      <c r="T26" s="4">
        <v>1890</v>
      </c>
      <c r="U26" s="4">
        <v>1200</v>
      </c>
      <c r="V26" s="4">
        <v>0</v>
      </c>
      <c r="W26" s="4">
        <v>13200</v>
      </c>
      <c r="X26" s="4">
        <v>3948</v>
      </c>
      <c r="Y26" s="4">
        <v>67654.850537245205</v>
      </c>
      <c r="Z26" s="4">
        <v>630181.77314300695</v>
      </c>
      <c r="AA26" s="4">
        <v>857.36951374549506</v>
      </c>
      <c r="AB26" s="4">
        <v>7288.3543714370999</v>
      </c>
      <c r="AC26" s="4">
        <v>315696.89016918902</v>
      </c>
      <c r="AD26" s="8">
        <v>4.2718828474619298E-10</v>
      </c>
      <c r="AE26" s="4">
        <v>91.143057958251802</v>
      </c>
      <c r="AF26" s="4">
        <v>16766676.942</v>
      </c>
      <c r="AG26" s="4">
        <v>3496589.2829999998</v>
      </c>
      <c r="AH26" s="4">
        <v>13270087.658999899</v>
      </c>
      <c r="AI26" s="4">
        <v>313639.05800517998</v>
      </c>
      <c r="AJ26" s="4">
        <v>3933802.2089999998</v>
      </c>
      <c r="AK26" s="4">
        <v>437212.92599999998</v>
      </c>
      <c r="AL26" s="4">
        <v>210734.135135135</v>
      </c>
      <c r="AM26" s="4">
        <f t="shared" si="0"/>
        <v>102904.92287004497</v>
      </c>
      <c r="AN26" s="4" cm="1">
        <f t="array" ref="AN26">IF(SUMPRODUCT((E26&gt;=E$2:E$27)*(B26&gt;=B$2:B$27)*(F26&gt;=F$2:F$27)*(C26&gt;=C$2:C$27)*(D26&gt;=D$2:D$27)*(ROW(C$2:C$27)&lt;&gt;ROW()))&gt;0,1,0)</f>
        <v>0</v>
      </c>
      <c r="AO26" s="4">
        <v>0</v>
      </c>
    </row>
    <row r="27" spans="1:41" x14ac:dyDescent="0.3">
      <c r="A27" s="5" t="s">
        <v>116</v>
      </c>
      <c r="B27" s="5">
        <v>0</v>
      </c>
      <c r="C27" s="5">
        <v>0</v>
      </c>
      <c r="D27" s="5">
        <v>70</v>
      </c>
      <c r="E27" s="5">
        <v>1200</v>
      </c>
      <c r="F27" s="6">
        <v>9.4441851245286692</v>
      </c>
      <c r="G27" s="6">
        <v>2.9456548684975599</v>
      </c>
      <c r="H27" s="6">
        <v>90.047292889758594</v>
      </c>
      <c r="I27" s="7">
        <f t="shared" si="1"/>
        <v>0</v>
      </c>
      <c r="J27" s="7">
        <f t="shared" si="2"/>
        <v>0</v>
      </c>
      <c r="K27" s="6">
        <f t="shared" si="3"/>
        <v>16.565100000000001</v>
      </c>
      <c r="L27" s="4">
        <v>1755093.9030136401</v>
      </c>
      <c r="M27" s="4">
        <v>0</v>
      </c>
      <c r="N27" s="4">
        <v>0</v>
      </c>
      <c r="O27" s="4">
        <v>195093.903013642</v>
      </c>
      <c r="P27" s="4">
        <v>1320000</v>
      </c>
      <c r="Q27" s="4">
        <v>240000</v>
      </c>
      <c r="R27" s="4">
        <v>342035.16083565901</v>
      </c>
      <c r="S27" s="4">
        <v>3901.8780602728498</v>
      </c>
      <c r="T27" s="4">
        <v>0</v>
      </c>
      <c r="U27" s="4">
        <v>1200</v>
      </c>
      <c r="V27" s="4">
        <v>0</v>
      </c>
      <c r="W27" s="4">
        <v>13200</v>
      </c>
      <c r="X27" s="4">
        <v>3948</v>
      </c>
      <c r="Y27" s="4">
        <v>67654.850537245205</v>
      </c>
      <c r="Z27" s="4">
        <v>780023.89230018202</v>
      </c>
      <c r="AA27" s="4">
        <v>847.06181083318302</v>
      </c>
      <c r="AB27" s="4">
        <v>0</v>
      </c>
      <c r="AC27" s="4">
        <v>311901.43243243202</v>
      </c>
      <c r="AD27" s="8">
        <v>4.15187408263152E-10</v>
      </c>
      <c r="AE27" s="4">
        <v>90.047292889758594</v>
      </c>
      <c r="AF27" s="4">
        <v>16565100</v>
      </c>
      <c r="AG27" s="4">
        <v>0</v>
      </c>
      <c r="AH27" s="4">
        <v>16565100</v>
      </c>
      <c r="AI27" s="4">
        <v>309843.16611328803</v>
      </c>
      <c r="AJ27" s="4">
        <v>0</v>
      </c>
      <c r="AK27" s="4">
        <v>0</v>
      </c>
      <c r="AL27" s="4">
        <v>206938.24324324299</v>
      </c>
      <c r="AM27" s="4">
        <f t="shared" si="0"/>
        <v>102904.92287004503</v>
      </c>
      <c r="AN27" s="4" cm="1">
        <f t="array" ref="AN27">IF(SUMPRODUCT((E27&gt;=E$2:E$27)*(B27&gt;=B$2:B$27)*(F27&gt;=F$2:F$27)*(C27&gt;=C$2:C$27)*(D27&gt;=D$2:D$27)*(ROW(C$2:C$27)&lt;&gt;ROW()))&gt;0,1,0)</f>
        <v>0</v>
      </c>
      <c r="AO27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 Supply</vt:lpstr>
      <vt:lpstr>Balanced Supply</vt:lpstr>
      <vt:lpstr>Island Operation</vt:lpstr>
      <vt:lpstr>Expanded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Ashkan Tayebi</dc:creator>
  <cp:lastModifiedBy>Ashkan Tayebi</cp:lastModifiedBy>
  <dcterms:created xsi:type="dcterms:W3CDTF">2015-06-05T18:17:20Z</dcterms:created>
  <dcterms:modified xsi:type="dcterms:W3CDTF">2025-09-17T12:19:07Z</dcterms:modified>
</cp:coreProperties>
</file>