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orage.slu.se\Home$\aneh0003\My Documents\Reports\Project 1\Report\Revenues\Real Final\Used in final version\Results\"/>
    </mc:Choice>
  </mc:AlternateContent>
  <xr:revisionPtr revIDLastSave="0" documentId="13_ncr:1_{1CBCC262-CC3F-4950-ACFB-0CEF4B140434}" xr6:coauthVersionLast="47" xr6:coauthVersionMax="47" xr10:uidLastSave="{00000000-0000-0000-0000-000000000000}"/>
  <bookViews>
    <workbookView xWindow="30612" yWindow="2388" windowWidth="30936" windowHeight="16776" xr2:uid="{DA83E2B6-3843-4D0E-A96C-03D5CCA16A4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<sst xmlns="http://schemas.openxmlformats.org/spreadsheetml/2006/main" count="28" uniqueCount="23">
  <si>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Discount Rate</t>
  </si>
  <si>
    <t>Battery Size (kWh)</t>
  </si>
  <si>
    <t>Electrolyzer Size (kWp)</t>
  </si>
  <si>
    <t>Storage Size (kg H2)</t>
  </si>
  <si>
    <t>PV Size (kWp)</t>
  </si>
  <si>
    <t>LCOH (EUR2024/kg H2)</t>
  </si>
  <si>
    <t>Net Present Cost (EUR2024)</t>
  </si>
  <si>
    <t>Total CAPEX (EUR2024)</t>
  </si>
  <si>
    <t>PV Capex</t>
  </si>
  <si>
    <t>Battery Capex</t>
  </si>
  <si>
    <t>...</t>
  </si>
  <si>
    <t>Total Discounted Electricity Income (EUR2024)</t>
  </si>
  <si>
    <t>Total H2 produced (kg)</t>
  </si>
  <si>
    <t>Total H2 deficit (kg)</t>
  </si>
  <si>
    <t>Electrolyzer usage (%)</t>
  </si>
  <si>
    <t>Electrolyzer production (kWh)</t>
  </si>
  <si>
    <t>PV to Electrolyzer (kWh)</t>
  </si>
  <si>
    <t>Grid to Electrolyzer (kWh)</t>
  </si>
  <si>
    <t>Consumption (kg)</t>
  </si>
  <si>
    <t>PV production (kWh)</t>
  </si>
  <si>
    <t>Excess electricity</t>
  </si>
  <si>
    <t>Import from Grid</t>
  </si>
  <si>
    <t>Export to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</si>
</sst>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Electricity</a:t>
            </a:r>
            <a:r>
              <a:rPr lang="sv-SE" baseline="0"/>
              <a:t> import and export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Import from Grid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Sheet2!$F$2:$F$6</c:f>
              <c:numCache>
                <c:formatCode>General</c:formatCode>
                <c:ptCount val="5"/>
                <c:pt idx="0">
                  <c:v>150</c:v>
                </c:pt>
                <c:pt idx="1">
                  <c:v>175</c:v>
                </c:pt>
                <c:pt idx="2">
                  <c:v>200</c:v>
                </c:pt>
                <c:pt idx="3">
                  <c:v>225</c:v>
                </c:pt>
                <c:pt idx="4">
                  <c:v>250</c:v>
                </c:pt>
              </c:numCache>
            </c:numRef>
          </c:xVal>
          <c:yVal>
            <c:numRef>
              <c:f>Sheet2!$G$2:$G$6</c:f>
              <c:numCache>
                <c:formatCode>General</c:formatCode>
                <c:ptCount val="5"/>
                <c:pt idx="0">
                  <c:v>4.2636619264285702</c:v>
                </c:pt>
                <c:pt idx="1">
                  <c:v>4.0851593298214199</c:v>
                </c:pt>
                <c:pt idx="2">
                  <c:v>3.9116365114285698</c:v>
                </c:pt>
                <c:pt idx="3">
                  <c:v>3.7620275930357101</c:v>
                </c:pt>
                <c:pt idx="4">
                  <c:v>3.63657044999999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6-4C64-ABC8-9A41B4E3FCF2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Export to grid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Sheet2!$F$2:$F$6</c:f>
              <c:numCache>
                <c:formatCode>General</c:formatCode>
                <c:ptCount val="5"/>
                <c:pt idx="0">
                  <c:v>150</c:v>
                </c:pt>
                <c:pt idx="1">
                  <c:v>175</c:v>
                </c:pt>
                <c:pt idx="2">
                  <c:v>200</c:v>
                </c:pt>
                <c:pt idx="3">
                  <c:v>225</c:v>
                </c:pt>
                <c:pt idx="4">
                  <c:v>250</c:v>
                </c:pt>
              </c:numCache>
            </c:numRef>
          </c:xVal>
          <c:yVal>
            <c:numRef>
              <c:f>Sheet2!$H$2:$H$6</c:f>
              <c:numCache>
                <c:formatCode>General</c:formatCode>
                <c:ptCount val="5"/>
                <c:pt idx="0">
                  <c:v>2.9798602103571397</c:v>
                </c:pt>
                <c:pt idx="1">
                  <c:v>3.5038139775000001</c:v>
                </c:pt>
                <c:pt idx="2">
                  <c:v>4.0327902257142796</c:v>
                </c:pt>
                <c:pt idx="3">
                  <c:v>4.5856115801785702</c:v>
                </c:pt>
                <c:pt idx="4">
                  <c:v>5.1624673071428502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26-4C64-ABC8-9A41B4E3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64016"/>
        <c:axId val="292264496"/>
      </c:scatterChart>
      <c:valAx>
        <c:axId val="292264016"/>
        <c:scaling>
          <c:orientation val="minMax"/>
          <c:max val="25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PV Size (kW)</a:t>
                </a:r>
                <a:br>
                  <a:rPr lang="sv-SE"/>
                </a:br>
                <a:r>
                  <a:rPr lang="sv-SE"/>
                  <a:t>Electrolyzer:</a:t>
                </a:r>
                <a:r>
                  <a:rPr lang="sv-SE" baseline="0"/>
                  <a:t> 100 kW, Storage = 700 kg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92264496"/>
        <c:crosses val="autoZero"/>
        <c:crossBetween val="midCat"/>
        <c:majorUnit val="25"/>
      </c:valAx>
      <c:valAx>
        <c:axId val="2922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Electricity</a:t>
                </a:r>
                <a:r>
                  <a:rPr lang="sv-SE" baseline="0"/>
                  <a:t> (GWh)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9226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6</xdr:row>
      <xdr:rowOff>38100</xdr:rowOff>
    </xdr:from>
    <xdr:to>
      <xdr:col>19</xdr:col>
      <xdr:colOff>38100</xdr:colOff>
      <xdr:row>32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D089B-CD30-5986-0EB4-8D711AF27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6629-CC28-4347-BF46-A31A71F43DAA}">
  <dimension ref="A1:X6"/>
  <sheetViews>
    <sheetView tabSelected="1" workbookViewId="0">
      <selection activeCell="E12" sqref="E12"/>
    </sheetView>
  </sheetViews>
  <sheetFormatPr defaultRowHeight="14.4" x14ac:dyDescent="0.3"/>
  <sheetData>
    <row r="1" spans="1:2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21</v>
      </c>
      <c r="H1" t="s">
        <v>22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">
      <c r="A2">
        <v>0</v>
      </c>
      <c r="B2">
        <v>0.05</v>
      </c>
      <c r="C2">
        <v>0</v>
      </c>
      <c r="D2">
        <v>160</v>
      </c>
      <c r="E2">
        <v>300</v>
      </c>
      <c r="F2">
        <v>150</v>
      </c>
      <c r="G2">
        <v>4.2636619264285702</v>
      </c>
      <c r="H2">
        <v>2.9798602103571397</v>
      </c>
      <c r="I2">
        <v>16.0536536881181</v>
      </c>
      <c r="J2">
        <v>1662066.97141057</v>
      </c>
      <c r="K2">
        <v>1059416.00690725</v>
      </c>
      <c r="L2">
        <v>135000</v>
      </c>
      <c r="M2">
        <v>0</v>
      </c>
      <c r="N2" t="s">
        <v>10</v>
      </c>
      <c r="O2">
        <v>50498.747614403801</v>
      </c>
      <c r="P2">
        <v>103532.006090347</v>
      </c>
      <c r="Q2" s="1">
        <v>3.4086543111909197E-11</v>
      </c>
      <c r="R2">
        <v>13.0769354003587</v>
      </c>
      <c r="S2">
        <v>5498589.7971428502</v>
      </c>
      <c r="T2">
        <v>1234927.8707142801</v>
      </c>
      <c r="U2">
        <v>4263661.9264285704</v>
      </c>
      <c r="V2">
        <v>102904.922870045</v>
      </c>
      <c r="W2">
        <v>4214788.0810714196</v>
      </c>
      <c r="X2">
        <v>2979860.2103571398</v>
      </c>
    </row>
    <row r="3" spans="1:24" x14ac:dyDescent="0.3">
      <c r="A3">
        <v>1</v>
      </c>
      <c r="B3">
        <v>0.05</v>
      </c>
      <c r="C3">
        <v>0</v>
      </c>
      <c r="D3">
        <v>160</v>
      </c>
      <c r="E3">
        <v>300</v>
      </c>
      <c r="F3">
        <v>175</v>
      </c>
      <c r="G3">
        <v>4.0851593298214199</v>
      </c>
      <c r="H3">
        <v>3.5038139775000001</v>
      </c>
      <c r="I3">
        <v>16.1545546888443</v>
      </c>
      <c r="J3">
        <v>1672515.98405155</v>
      </c>
      <c r="K3">
        <v>1081916.00690725</v>
      </c>
      <c r="L3">
        <v>157500</v>
      </c>
      <c r="M3">
        <v>0</v>
      </c>
      <c r="N3" t="s">
        <v>10</v>
      </c>
      <c r="O3">
        <v>59513.522627456899</v>
      </c>
      <c r="P3">
        <v>103532.162678957</v>
      </c>
      <c r="Q3" s="1">
        <v>3.2506378541289101E-11</v>
      </c>
      <c r="R3">
        <v>13.076955178775201</v>
      </c>
      <c r="S3">
        <v>5498598.1135714203</v>
      </c>
      <c r="T3">
        <v>1413438.7837499999</v>
      </c>
      <c r="U3">
        <v>4085159.3298214199</v>
      </c>
      <c r="V3">
        <v>102904.922870045</v>
      </c>
      <c r="W3">
        <v>4917252.7612499902</v>
      </c>
      <c r="X3">
        <v>3503813.9775</v>
      </c>
    </row>
    <row r="4" spans="1:24" x14ac:dyDescent="0.3">
      <c r="A4">
        <v>2</v>
      </c>
      <c r="B4">
        <v>0.05</v>
      </c>
      <c r="C4">
        <v>0</v>
      </c>
      <c r="D4">
        <v>160</v>
      </c>
      <c r="E4">
        <v>300</v>
      </c>
      <c r="F4">
        <v>200</v>
      </c>
      <c r="G4">
        <v>3.9116365114285698</v>
      </c>
      <c r="H4">
        <v>4.0327902257142796</v>
      </c>
      <c r="I4">
        <v>16.256849431677999</v>
      </c>
      <c r="J4">
        <v>1683096.2544102101</v>
      </c>
      <c r="K4">
        <v>1104416.00690725</v>
      </c>
      <c r="L4">
        <v>180000</v>
      </c>
      <c r="M4">
        <v>0</v>
      </c>
      <c r="N4" t="s">
        <v>10</v>
      </c>
      <c r="O4">
        <v>68723.518319189199</v>
      </c>
      <c r="P4">
        <v>103531.51522277899</v>
      </c>
      <c r="Q4" s="1">
        <v>3.5375036233631298E-11</v>
      </c>
      <c r="R4">
        <v>13.0768733997879</v>
      </c>
      <c r="S4">
        <v>5498563.7271428499</v>
      </c>
      <c r="T4">
        <v>1586927.21571428</v>
      </c>
      <c r="U4">
        <v>3911636.5114285699</v>
      </c>
      <c r="V4">
        <v>102904.922870045</v>
      </c>
      <c r="W4">
        <v>5619717.4414285701</v>
      </c>
      <c r="X4">
        <v>4032790.2257142798</v>
      </c>
    </row>
    <row r="5" spans="1:24" x14ac:dyDescent="0.3">
      <c r="A5">
        <v>3</v>
      </c>
      <c r="B5">
        <v>0.05</v>
      </c>
      <c r="C5">
        <v>0</v>
      </c>
      <c r="D5">
        <v>160</v>
      </c>
      <c r="E5">
        <v>300</v>
      </c>
      <c r="F5">
        <v>225</v>
      </c>
      <c r="G5">
        <v>3.7620275930357101</v>
      </c>
      <c r="H5">
        <v>4.5856115801785702</v>
      </c>
      <c r="I5">
        <v>16.365835018802201</v>
      </c>
      <c r="J5">
        <v>1694390.2999817301</v>
      </c>
      <c r="K5">
        <v>1126916.00690725</v>
      </c>
      <c r="L5">
        <v>202500</v>
      </c>
      <c r="M5">
        <v>0</v>
      </c>
      <c r="N5" t="s">
        <v>10</v>
      </c>
      <c r="O5">
        <v>78355.235722308906</v>
      </c>
      <c r="P5">
        <v>103532.16307234501</v>
      </c>
      <c r="Q5" s="1">
        <v>3.44605296679187E-11</v>
      </c>
      <c r="R5">
        <v>13.0769552284633</v>
      </c>
      <c r="S5">
        <v>5498598.1344642797</v>
      </c>
      <c r="T5">
        <v>1736570.5414285699</v>
      </c>
      <c r="U5">
        <v>3762027.59303571</v>
      </c>
      <c r="V5">
        <v>102904.922870045</v>
      </c>
      <c r="W5">
        <v>6322182.1216071397</v>
      </c>
      <c r="X5">
        <v>4585611.58017857</v>
      </c>
    </row>
    <row r="6" spans="1:24" x14ac:dyDescent="0.3">
      <c r="A6">
        <v>4</v>
      </c>
      <c r="B6">
        <v>0.05</v>
      </c>
      <c r="C6">
        <v>0</v>
      </c>
      <c r="D6">
        <v>160</v>
      </c>
      <c r="E6">
        <v>300</v>
      </c>
      <c r="F6">
        <v>250</v>
      </c>
      <c r="G6">
        <v>3.63657044999999</v>
      </c>
      <c r="H6">
        <v>5.1624673071428502</v>
      </c>
      <c r="I6">
        <v>16.480401654086101</v>
      </c>
      <c r="J6">
        <v>1706298.7392583301</v>
      </c>
      <c r="K6">
        <v>1149416.00690725</v>
      </c>
      <c r="L6">
        <v>225000</v>
      </c>
      <c r="M6">
        <v>0</v>
      </c>
      <c r="N6" t="s">
        <v>10</v>
      </c>
      <c r="O6">
        <v>88468.949643189597</v>
      </c>
      <c r="P6">
        <v>103535.021480212</v>
      </c>
      <c r="Q6" s="1">
        <v>3.4743160729330403E-11</v>
      </c>
      <c r="R6">
        <v>13.077316268652099</v>
      </c>
      <c r="S6">
        <v>5498749.9446428502</v>
      </c>
      <c r="T6">
        <v>1862179.49464285</v>
      </c>
      <c r="U6">
        <v>3636570.4499999899</v>
      </c>
      <c r="V6">
        <v>102904.922870045</v>
      </c>
      <c r="W6">
        <v>7024646.8017857103</v>
      </c>
      <c r="X6">
        <v>5162467.30714285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Tayebi</dc:creator>
  <cp:lastModifiedBy>Ashkan Tayebi</cp:lastModifiedBy>
  <dcterms:created xsi:type="dcterms:W3CDTF">2025-05-12T08:17:06Z</dcterms:created>
  <dcterms:modified xsi:type="dcterms:W3CDTF">2025-05-12T14:33:01Z</dcterms:modified>
</cp:coreProperties>
</file>